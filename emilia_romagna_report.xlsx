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hinn\OneDrive\Desktop\TEACHING UNIMORE\2023_24\DATA REDUCTION, INFORMATION DESIGN AND DATA VISUALIZATION\_Database esame report\"/>
    </mc:Choice>
  </mc:AlternateContent>
  <xr:revisionPtr revIDLastSave="0" documentId="13_ncr:1_{6EE4E62B-0832-4796-8EB8-04152661246A}" xr6:coauthVersionLast="47" xr6:coauthVersionMax="47" xr10:uidLastSave="{00000000-0000-0000-0000-000000000000}"/>
  <bookViews>
    <workbookView xWindow="-108" yWindow="-108" windowWidth="23256" windowHeight="12576" xr2:uid="{A2B91D57-ADC4-49E0-B2A7-50AA9E680CEF}"/>
  </bookViews>
  <sheets>
    <sheet name="dataset" sheetId="1" r:id="rId1"/>
    <sheet name="descrizione variabili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30" i="1" l="1"/>
  <c r="O329" i="1"/>
  <c r="O328" i="1"/>
  <c r="O327" i="1"/>
  <c r="O326" i="1"/>
  <c r="O325" i="1"/>
  <c r="O324" i="1"/>
  <c r="O323" i="1"/>
  <c r="O322" i="1"/>
  <c r="O321" i="1"/>
  <c r="O320" i="1"/>
  <c r="O319" i="1"/>
  <c r="O318" i="1"/>
  <c r="O317" i="1"/>
  <c r="O316" i="1"/>
  <c r="O315" i="1"/>
  <c r="O314" i="1"/>
  <c r="O313" i="1"/>
  <c r="O312" i="1"/>
  <c r="O311" i="1"/>
  <c r="O310" i="1"/>
  <c r="O309" i="1"/>
  <c r="O308" i="1"/>
  <c r="O307" i="1"/>
  <c r="O306" i="1"/>
  <c r="O305" i="1"/>
  <c r="O304" i="1"/>
  <c r="O303" i="1"/>
  <c r="O302" i="1"/>
  <c r="O301" i="1"/>
  <c r="O300" i="1"/>
  <c r="O299" i="1"/>
  <c r="O298" i="1"/>
  <c r="O297" i="1"/>
  <c r="O296" i="1"/>
  <c r="L296" i="1"/>
  <c r="O295" i="1"/>
  <c r="O294" i="1"/>
  <c r="O293" i="1"/>
  <c r="O292" i="1"/>
  <c r="O291" i="1"/>
  <c r="O290" i="1"/>
  <c r="O289" i="1"/>
  <c r="O288" i="1"/>
  <c r="O287" i="1"/>
  <c r="O286" i="1"/>
  <c r="O285" i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N224" i="1"/>
  <c r="O224" i="1" s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3" i="1"/>
  <c r="O2" i="1"/>
</calcChain>
</file>

<file path=xl/sharedStrings.xml><?xml version="1.0" encoding="utf-8"?>
<sst xmlns="http://schemas.openxmlformats.org/spreadsheetml/2006/main" count="732" uniqueCount="381">
  <si>
    <t>Comune</t>
  </si>
  <si>
    <t>Provincia</t>
  </si>
  <si>
    <t>Agazzano</t>
  </si>
  <si>
    <t>Piacenza</t>
  </si>
  <si>
    <t>Albareto</t>
  </si>
  <si>
    <t>Parma</t>
  </si>
  <si>
    <t>Albinea</t>
  </si>
  <si>
    <t>Reggio Emilia</t>
  </si>
  <si>
    <t>Alfonsine</t>
  </si>
  <si>
    <t>Ravenna</t>
  </si>
  <si>
    <t>Alseno</t>
  </si>
  <si>
    <t>Alta Val Tidone</t>
  </si>
  <si>
    <t>Alto Reno Terme</t>
  </si>
  <si>
    <t>Bologna</t>
  </si>
  <si>
    <t>Anzola dell'Emilia</t>
  </si>
  <si>
    <t>Argelato</t>
  </si>
  <si>
    <t>Argenta</t>
  </si>
  <si>
    <t>Ferrara</t>
  </si>
  <si>
    <t>Bagnacavallo</t>
  </si>
  <si>
    <t>Bagnara di Romagna</t>
  </si>
  <si>
    <t>Bagno di Romagna</t>
  </si>
  <si>
    <t>Forlì-Cesena</t>
  </si>
  <si>
    <t>Bagnolo in Piano</t>
  </si>
  <si>
    <t>Baiso</t>
  </si>
  <si>
    <t>Bardi</t>
  </si>
  <si>
    <t>Baricella</t>
  </si>
  <si>
    <t>Bastiglia</t>
  </si>
  <si>
    <t>Modena</t>
  </si>
  <si>
    <t>Bedonia</t>
  </si>
  <si>
    <t>Bellaria-Igea Marina</t>
  </si>
  <si>
    <t>Rimini</t>
  </si>
  <si>
    <t>Bentivoglio</t>
  </si>
  <si>
    <t>Berceto</t>
  </si>
  <si>
    <t>Bertinoro</t>
  </si>
  <si>
    <t>Besenzone</t>
  </si>
  <si>
    <t>Bettola</t>
  </si>
  <si>
    <t>Bibbiano</t>
  </si>
  <si>
    <t>Bobbio</t>
  </si>
  <si>
    <t>Bomporto</t>
  </si>
  <si>
    <t>Bondeno</t>
  </si>
  <si>
    <t>Bore</t>
  </si>
  <si>
    <t>Boretto</t>
  </si>
  <si>
    <t>Borghi</t>
  </si>
  <si>
    <t>Borgo Tossignano</t>
  </si>
  <si>
    <t>Borgo Val di Taro</t>
  </si>
  <si>
    <t>Borgonovo Val Tidone</t>
  </si>
  <si>
    <t>Brescello</t>
  </si>
  <si>
    <t>Brisighella</t>
  </si>
  <si>
    <t>Budrio</t>
  </si>
  <si>
    <t>Busseto</t>
  </si>
  <si>
    <t>Cadelbosco di Sopra</t>
  </si>
  <si>
    <t>Cadeo</t>
  </si>
  <si>
    <t>Calderara di Reno</t>
  </si>
  <si>
    <t>Calendasco</t>
  </si>
  <si>
    <t>Calestano</t>
  </si>
  <si>
    <t>Campagnola Emilia</t>
  </si>
  <si>
    <t>Campegine</t>
  </si>
  <si>
    <t>Campogalliano</t>
  </si>
  <si>
    <t>Camposanto</t>
  </si>
  <si>
    <t>Camugnano</t>
  </si>
  <si>
    <t>Canossa</t>
  </si>
  <si>
    <t>Caorso</t>
  </si>
  <si>
    <t>Carpaneto Piacentino</t>
  </si>
  <si>
    <t>Carpi</t>
  </si>
  <si>
    <t>Carpineti</t>
  </si>
  <si>
    <t>Casalecchio di Reno</t>
  </si>
  <si>
    <t>Casalfiumanese</t>
  </si>
  <si>
    <t>Casalgrande</t>
  </si>
  <si>
    <t>Casina</t>
  </si>
  <si>
    <t>Casola Valsenio</t>
  </si>
  <si>
    <t>Castel Bolognese</t>
  </si>
  <si>
    <t>Castel d'Aiano</t>
  </si>
  <si>
    <t>Castel del Rio</t>
  </si>
  <si>
    <t>Castel di Casio</t>
  </si>
  <si>
    <t>Castel Guelfo di Bologna</t>
  </si>
  <si>
    <t>Castel Maggiore</t>
  </si>
  <si>
    <t>Castel San Giovanni</t>
  </si>
  <si>
    <t>Castel San Pietro Terme</t>
  </si>
  <si>
    <t>Casteldelci</t>
  </si>
  <si>
    <t>Castelfranco Emilia</t>
  </si>
  <si>
    <t>Castellarano</t>
  </si>
  <si>
    <t>Castell'Arquato</t>
  </si>
  <si>
    <t>Castello d'Argile</t>
  </si>
  <si>
    <t>Castelnovo di Sotto</t>
  </si>
  <si>
    <t>Castelnovo ne' Monti</t>
  </si>
  <si>
    <t>Castelnuovo Rangone</t>
  </si>
  <si>
    <t>Castelvetro di Modena</t>
  </si>
  <si>
    <t>Castelvetro Piacentino</t>
  </si>
  <si>
    <t>Castenaso</t>
  </si>
  <si>
    <t>Castiglione dei Pepoli</t>
  </si>
  <si>
    <t>Castrocaro Terme e Terra del Sole</t>
  </si>
  <si>
    <t>Cattolica</t>
  </si>
  <si>
    <t>Cavezzo</t>
  </si>
  <si>
    <t>Cavriago</t>
  </si>
  <si>
    <t>Cento</t>
  </si>
  <si>
    <t>Cerignale</t>
  </si>
  <si>
    <t>Cervia</t>
  </si>
  <si>
    <t>Cesena</t>
  </si>
  <si>
    <t>Cesenatico</t>
  </si>
  <si>
    <t>Civitella di Romagna</t>
  </si>
  <si>
    <t>Codigoro</t>
  </si>
  <si>
    <t>Coli</t>
  </si>
  <si>
    <t>Collecchio</t>
  </si>
  <si>
    <t>Colorno</t>
  </si>
  <si>
    <t>Comacchio</t>
  </si>
  <si>
    <t>Compiano</t>
  </si>
  <si>
    <t>Concordia sulla Secchia</t>
  </si>
  <si>
    <t>Conselice</t>
  </si>
  <si>
    <t>Copparo</t>
  </si>
  <si>
    <t>Coriano</t>
  </si>
  <si>
    <t>Corniglio</t>
  </si>
  <si>
    <t>Correggio</t>
  </si>
  <si>
    <t>Corte Brugnatella</t>
  </si>
  <si>
    <t>Cortemaggiore</t>
  </si>
  <si>
    <t>Cotignola</t>
  </si>
  <si>
    <t>Crevalcore</t>
  </si>
  <si>
    <t>Dovadola</t>
  </si>
  <si>
    <t>Dozza</t>
  </si>
  <si>
    <t>Fabbrico</t>
  </si>
  <si>
    <t>Faenza</t>
  </si>
  <si>
    <t>Fanano</t>
  </si>
  <si>
    <t>Farini</t>
  </si>
  <si>
    <t>Felino</t>
  </si>
  <si>
    <t>Ferriere</t>
  </si>
  <si>
    <t>Fidenza</t>
  </si>
  <si>
    <t>Finale Emilia</t>
  </si>
  <si>
    <t>Fiorano Modenese</t>
  </si>
  <si>
    <t>Fiorenzuola d'Arda</t>
  </si>
  <si>
    <t>Fiscaglia</t>
  </si>
  <si>
    <t>Fiumalbo</t>
  </si>
  <si>
    <t>Fontanelice</t>
  </si>
  <si>
    <t>Fontanellato</t>
  </si>
  <si>
    <t>Fontevivo</t>
  </si>
  <si>
    <t>Forlì</t>
  </si>
  <si>
    <t>Forlimpopoli</t>
  </si>
  <si>
    <t>Formigine</t>
  </si>
  <si>
    <t>Fornovo di Taro</t>
  </si>
  <si>
    <t>Frassinoro</t>
  </si>
  <si>
    <t>Fusignano</t>
  </si>
  <si>
    <t>Gaggio Montano</t>
  </si>
  <si>
    <t>Galeata</t>
  </si>
  <si>
    <t>Galliera</t>
  </si>
  <si>
    <t>Gambettola</t>
  </si>
  <si>
    <t>Gattatico</t>
  </si>
  <si>
    <t>Gatteo</t>
  </si>
  <si>
    <t>Gazzola</t>
  </si>
  <si>
    <t>Gemmano</t>
  </si>
  <si>
    <t>Goro</t>
  </si>
  <si>
    <t>Gossolengo</t>
  </si>
  <si>
    <t>Gragnano Trebbiense</t>
  </si>
  <si>
    <t>Granarolo dell'Emilia</t>
  </si>
  <si>
    <t>Grizzana Morandi</t>
  </si>
  <si>
    <t>Gropparello</t>
  </si>
  <si>
    <t>Gualtieri</t>
  </si>
  <si>
    <t>Guastalla</t>
  </si>
  <si>
    <t>Guiglia</t>
  </si>
  <si>
    <t>Imola</t>
  </si>
  <si>
    <t>Jolanda di Savoia</t>
  </si>
  <si>
    <t>Lagosanto</t>
  </si>
  <si>
    <t>Lama Mocogno</t>
  </si>
  <si>
    <t>Langhirano</t>
  </si>
  <si>
    <t>Lesignano de' Bagni</t>
  </si>
  <si>
    <t>Lizzano in Belvedere</t>
  </si>
  <si>
    <t>Loiano</t>
  </si>
  <si>
    <t>Longiano</t>
  </si>
  <si>
    <t>Lugagnano Val d'Arda</t>
  </si>
  <si>
    <t>Lugo</t>
  </si>
  <si>
    <t>Luzzara</t>
  </si>
  <si>
    <t>Maiolo</t>
  </si>
  <si>
    <t>Malalbergo</t>
  </si>
  <si>
    <t>Maranello</t>
  </si>
  <si>
    <t>Marano sul Panaro</t>
  </si>
  <si>
    <t>Marzabotto</t>
  </si>
  <si>
    <t>Masi Torello</t>
  </si>
  <si>
    <t>Massa Lombarda</t>
  </si>
  <si>
    <t>Medesano</t>
  </si>
  <si>
    <t>Medicina</t>
  </si>
  <si>
    <t>Medolla</t>
  </si>
  <si>
    <t>Meldola</t>
  </si>
  <si>
    <t>Mercato Saraceno</t>
  </si>
  <si>
    <t>Mesola</t>
  </si>
  <si>
    <t>Minerbio</t>
  </si>
  <si>
    <t>Mirandola</t>
  </si>
  <si>
    <t>Misano Adriatico</t>
  </si>
  <si>
    <t>Modigliana</t>
  </si>
  <si>
    <t>Molinella</t>
  </si>
  <si>
    <t>Monchio delle Corti</t>
  </si>
  <si>
    <t>Mondaino</t>
  </si>
  <si>
    <t>Monghidoro</t>
  </si>
  <si>
    <t>Monte San Pietro</t>
  </si>
  <si>
    <t>Montecchio Emilia</t>
  </si>
  <si>
    <t>Montechiarugolo</t>
  </si>
  <si>
    <t>Montecopiolo</t>
  </si>
  <si>
    <t>Montecreto</t>
  </si>
  <si>
    <t>Montefiore Conca</t>
  </si>
  <si>
    <t>Montefiorino</t>
  </si>
  <si>
    <t>Montegridolfo</t>
  </si>
  <si>
    <t>Monterenzio</t>
  </si>
  <si>
    <t>Montescudo - Montecolombo</t>
  </si>
  <si>
    <t>Montese</t>
  </si>
  <si>
    <t>Montiano</t>
  </si>
  <si>
    <t>Monticelli d'Ongina</t>
  </si>
  <si>
    <t>Monzuno</t>
  </si>
  <si>
    <t>Morciano di Romagna</t>
  </si>
  <si>
    <t>Mordano</t>
  </si>
  <si>
    <t>Morfasso</t>
  </si>
  <si>
    <t>Neviano degli Arduini</t>
  </si>
  <si>
    <t>Noceto</t>
  </si>
  <si>
    <t>Nonantola</t>
  </si>
  <si>
    <t>Novafeltria</t>
  </si>
  <si>
    <t>Novellara</t>
  </si>
  <si>
    <t>Novi di Modena</t>
  </si>
  <si>
    <t>Ostellato</t>
  </si>
  <si>
    <t>Ottone</t>
  </si>
  <si>
    <t>Ozzano dell'Emilia</t>
  </si>
  <si>
    <t>Palagano</t>
  </si>
  <si>
    <t>Palanzano</t>
  </si>
  <si>
    <t>Pavullo nel Frignano</t>
  </si>
  <si>
    <t>Pellegrino Parmense</t>
  </si>
  <si>
    <t>Pennabilli</t>
  </si>
  <si>
    <t>Pianello Val Tidone</t>
  </si>
  <si>
    <t>Pianoro</t>
  </si>
  <si>
    <t>Pieve di Cento</t>
  </si>
  <si>
    <t>Pievepelago</t>
  </si>
  <si>
    <t>Piozzano</t>
  </si>
  <si>
    <t>Podenzano</t>
  </si>
  <si>
    <t>Poggio Renatico</t>
  </si>
  <si>
    <t>Poggio Torriana</t>
  </si>
  <si>
    <t>Polesine Zibello</t>
  </si>
  <si>
    <t>Polinago</t>
  </si>
  <si>
    <t>Ponte dell'Olio</t>
  </si>
  <si>
    <t>Pontenure</t>
  </si>
  <si>
    <t>Portico e San Benedetto</t>
  </si>
  <si>
    <t>Portomaggiore</t>
  </si>
  <si>
    <t>Poviglio</t>
  </si>
  <si>
    <t>Predappio</t>
  </si>
  <si>
    <t>Premilcuore</t>
  </si>
  <si>
    <t>Prignano sulla Secchia</t>
  </si>
  <si>
    <t>Quattro Castella</t>
  </si>
  <si>
    <t>Ravarino</t>
  </si>
  <si>
    <t>Reggio nell'Emilia</t>
  </si>
  <si>
    <t>Reggiolo</t>
  </si>
  <si>
    <t>Riccione</t>
  </si>
  <si>
    <t>Rio Saliceto</t>
  </si>
  <si>
    <t>Riolo Terme</t>
  </si>
  <si>
    <t>Riolunato</t>
  </si>
  <si>
    <t>Riva del Po</t>
  </si>
  <si>
    <t>Rivergaro</t>
  </si>
  <si>
    <t>Rocca San Casciano</t>
  </si>
  <si>
    <t>Roccabianca</t>
  </si>
  <si>
    <t>Rolo</t>
  </si>
  <si>
    <t>Roncofreddo</t>
  </si>
  <si>
    <t>Rottofreno</t>
  </si>
  <si>
    <t>Rubiera</t>
  </si>
  <si>
    <t>Russi</t>
  </si>
  <si>
    <t>Sala Baganza</t>
  </si>
  <si>
    <t>Sala Bolognese</t>
  </si>
  <si>
    <t>Salsomaggiore Terme</t>
  </si>
  <si>
    <t>Saludecio</t>
  </si>
  <si>
    <t>San Benedetto Val di Sambro</t>
  </si>
  <si>
    <t>San Cesario sul Panaro</t>
  </si>
  <si>
    <t>San Clemente</t>
  </si>
  <si>
    <t>San Felice sul Panaro</t>
  </si>
  <si>
    <t>San Giorgio di Piano</t>
  </si>
  <si>
    <t>San Giorgio Piacentino</t>
  </si>
  <si>
    <t>San Giovanni in Marignano</t>
  </si>
  <si>
    <t>San Giovanni in Persiceto</t>
  </si>
  <si>
    <t>San Lazzaro di Savena</t>
  </si>
  <si>
    <t>San Leo</t>
  </si>
  <si>
    <t>San Martino in Rio</t>
  </si>
  <si>
    <t>San Mauro Pascoli</t>
  </si>
  <si>
    <t>San Pietro in Casale</t>
  </si>
  <si>
    <t>San Pietro in Cerro</t>
  </si>
  <si>
    <t>San Polo d'Enza</t>
  </si>
  <si>
    <t>San Possidonio</t>
  </si>
  <si>
    <t>San Prospero</t>
  </si>
  <si>
    <t>San Secondo Parmense</t>
  </si>
  <si>
    <t>Santa Sofia</t>
  </si>
  <si>
    <t>Sant'Agata Bolognese</t>
  </si>
  <si>
    <t>Sant'Agata Feltria</t>
  </si>
  <si>
    <t>Sant'Agata sul Santerno</t>
  </si>
  <si>
    <t>Santarcangelo di Romagna</t>
  </si>
  <si>
    <t>Sant'Ilario d'Enza</t>
  </si>
  <si>
    <t>Sarmato</t>
  </si>
  <si>
    <t>Sarsina</t>
  </si>
  <si>
    <t>Sasso Marconi</t>
  </si>
  <si>
    <t>Sassuolo</t>
  </si>
  <si>
    <t>Savignano sul Panaro</t>
  </si>
  <si>
    <t>Savignano sul Rubicone</t>
  </si>
  <si>
    <t>Scandiano</t>
  </si>
  <si>
    <t>Serramazzoni</t>
  </si>
  <si>
    <t>Sestola</t>
  </si>
  <si>
    <t>Sissa Trecasali</t>
  </si>
  <si>
    <t>Sogliano al Rubicone</t>
  </si>
  <si>
    <t>Solarolo</t>
  </si>
  <si>
    <t>Soliera</t>
  </si>
  <si>
    <t>Solignano</t>
  </si>
  <si>
    <t>Soragna</t>
  </si>
  <si>
    <t>Sorbolo Mezzani</t>
  </si>
  <si>
    <t>Spilamberto</t>
  </si>
  <si>
    <t>Talamello</t>
  </si>
  <si>
    <t>Terenzo</t>
  </si>
  <si>
    <t>Terre del Reno</t>
  </si>
  <si>
    <t>Tizzano Val Parma</t>
  </si>
  <si>
    <t>Toano</t>
  </si>
  <si>
    <t>Tornolo</t>
  </si>
  <si>
    <t>Torrile</t>
  </si>
  <si>
    <t>Traversetolo</t>
  </si>
  <si>
    <t>Travo</t>
  </si>
  <si>
    <t>Tredozio</t>
  </si>
  <si>
    <t>Tresignana</t>
  </si>
  <si>
    <t>Valmozzola</t>
  </si>
  <si>
    <t>Valsamoggia</t>
  </si>
  <si>
    <t>Varano de' Melegari</t>
  </si>
  <si>
    <t>Varsi</t>
  </si>
  <si>
    <t>Ventasso</t>
  </si>
  <si>
    <t>Vergato</t>
  </si>
  <si>
    <t>Verghereto</t>
  </si>
  <si>
    <t>Vernasca</t>
  </si>
  <si>
    <t>Verucchio</t>
  </si>
  <si>
    <t>Vetto</t>
  </si>
  <si>
    <t>Vezzano sul Crostolo</t>
  </si>
  <si>
    <t>Viano</t>
  </si>
  <si>
    <t>Vigarano Mainarda</t>
  </si>
  <si>
    <t>Vignola</t>
  </si>
  <si>
    <t>Vigolzone</t>
  </si>
  <si>
    <t>Villa Minozzo</t>
  </si>
  <si>
    <t>Villanova sull'Arda</t>
  </si>
  <si>
    <t>Voghiera</t>
  </si>
  <si>
    <t>Zerba</t>
  </si>
  <si>
    <t>Ziano Piacentino</t>
  </si>
  <si>
    <t>Zocca</t>
  </si>
  <si>
    <t>Zola Predosa</t>
  </si>
  <si>
    <t>Agriturismi_2023</t>
  </si>
  <si>
    <t>CO2eq_2016</t>
  </si>
  <si>
    <t>Auto1000ab_2016</t>
  </si>
  <si>
    <t>Differenziata_2022</t>
  </si>
  <si>
    <t>Superficieprotetta_2019</t>
  </si>
  <si>
    <t>Stazioni ferroviarie_2021</t>
  </si>
  <si>
    <t>Impresecertificate_2016</t>
  </si>
  <si>
    <t>Popolazione_2011</t>
  </si>
  <si>
    <t>Popolazione_2023</t>
  </si>
  <si>
    <t>Over69anni_2023</t>
  </si>
  <si>
    <t>Densità_2023</t>
  </si>
  <si>
    <t>Digitaldivide_2011</t>
  </si>
  <si>
    <t>Reddito_2020</t>
  </si>
  <si>
    <t>Spesacomunale_2017</t>
  </si>
  <si>
    <t>Partecipazelettorale_2022</t>
  </si>
  <si>
    <t>Comune&lt;5.000_2023</t>
  </si>
  <si>
    <t>Supforestale_2020</t>
  </si>
  <si>
    <t>Numeroimprese_2021</t>
  </si>
  <si>
    <t>Superficieagricola_2022</t>
  </si>
  <si>
    <t>Impreseagricole_2010</t>
  </si>
  <si>
    <t>Codice_comune</t>
  </si>
  <si>
    <t>Variabile</t>
  </si>
  <si>
    <t>Descrizione</t>
  </si>
  <si>
    <t>Codice identificativo del comune</t>
  </si>
  <si>
    <t>Nome del comune</t>
  </si>
  <si>
    <t>Provincia in cui é localizzato il comune</t>
  </si>
  <si>
    <t>Numero di agriturismi nel 2023</t>
  </si>
  <si>
    <t>Emissioni di CO2 equivalente nel 2016</t>
  </si>
  <si>
    <t>Automobili possedute ogni 1000 abitanti (dato 2016)</t>
  </si>
  <si>
    <t>Raccolta differenziata (percentuale) 2022</t>
  </si>
  <si>
    <t>Superficie aree protetta (percentuale) 2019</t>
  </si>
  <si>
    <t>Numero stazioni ferroviarie (dato 2021)</t>
  </si>
  <si>
    <t>Numero di imprese certificate(dato 2016)</t>
  </si>
  <si>
    <t>Popolazione residente anno 2023</t>
  </si>
  <si>
    <t>Popolazione residente anno 2011</t>
  </si>
  <si>
    <t>Numero di abitanti con piú di 69 anni nel 2023</t>
  </si>
  <si>
    <t>Superficie</t>
  </si>
  <si>
    <t>Superficie comune in KM quadrati</t>
  </si>
  <si>
    <t>Densitá popolazione nel 2023</t>
  </si>
  <si>
    <t>Digital divide (percentuale), dato 2011</t>
  </si>
  <si>
    <t>Reddito pro-capite (anno 2020)</t>
  </si>
  <si>
    <t>Spesa pubblica comunale anno 2017</t>
  </si>
  <si>
    <t>Partecipazione elettorale in percentuale nel 2022</t>
  </si>
  <si>
    <t>Dummy per identificare I comuni con meno di 5000 abitanti nel 2023: si (1), no (0)</t>
  </si>
  <si>
    <t>Superficie forestale in percentuale nel 2020</t>
  </si>
  <si>
    <t>Numero di imprese registrate nel 2021</t>
  </si>
  <si>
    <t>Superficie agricola in ettari nel 2022</t>
  </si>
  <si>
    <t>Numero di imprese agricole registrate nel 2010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</si>
</sst>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_-;\-* #,##0_-;_-* &quot;-&quot;??_-;_-@_-"/>
    <numFmt numFmtId="165" formatCode="_-* #,##0.000_-;\-* #,##0.000_-;_-* &quot;-&quot;??_-;_-@_-"/>
    <numFmt numFmtId="166" formatCode="_-* #,##0.00\ _€_-;\-* #,##0.00\ _€_-;_-* &quot;-&quot;??\ _€_-;_-@_-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color rgb="FF000000"/>
      <name val="Calibri"/>
      <family val="2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hair">
        <color rgb="FFFFFFCC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hair">
        <color rgb="FFFFFFCC"/>
      </left>
      <right style="thin">
        <color rgb="FFC0C0C0"/>
      </right>
      <top/>
      <bottom/>
      <diagonal/>
    </border>
    <border>
      <left/>
      <right style="thin">
        <color rgb="FFC0C0C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/>
  </cellStyleXfs>
  <cellXfs count="34">
    <xf numFmtId="0" fontId="0" fillId="0" borderId="0" xfId="0"/>
    <xf numFmtId="0" fontId="0" fillId="0" borderId="0" xfId="0" applyFont="1" applyAlignment="1">
      <alignment horizontal="left"/>
    </xf>
    <xf numFmtId="0" fontId="0" fillId="0" borderId="0" xfId="0" applyAlignment="1">
      <alignment horizontal="left"/>
    </xf>
    <xf numFmtId="43" fontId="1" fillId="0" borderId="0" xfId="1" applyFont="1" applyAlignment="1">
      <alignment horizontal="left"/>
    </xf>
    <xf numFmtId="164" fontId="1" fillId="0" borderId="0" xfId="1" applyNumberFormat="1" applyFont="1" applyAlignment="1">
      <alignment horizontal="left"/>
    </xf>
    <xf numFmtId="0" fontId="0" fillId="2" borderId="6" xfId="0" applyFill="1" applyBorder="1" applyAlignment="1">
      <alignment horizontal="left"/>
    </xf>
    <xf numFmtId="0" fontId="0" fillId="0" borderId="0" xfId="0" applyFont="1" applyAlignment="1">
      <alignment horizontal="center" vertical="center" wrapText="1"/>
    </xf>
    <xf numFmtId="43" fontId="1" fillId="0" borderId="0" xfId="1" applyFont="1" applyAlignment="1">
      <alignment horizontal="center" vertical="center" wrapText="1"/>
    </xf>
    <xf numFmtId="164" fontId="1" fillId="0" borderId="0" xfId="1" applyNumberFormat="1" applyFont="1" applyAlignment="1">
      <alignment horizontal="center" vertical="center" wrapText="1"/>
    </xf>
    <xf numFmtId="0" fontId="3" fillId="0" borderId="1" xfId="2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43" fontId="0" fillId="0" borderId="0" xfId="1" applyFont="1" applyAlignment="1">
      <alignment horizontal="center" vertical="center"/>
    </xf>
    <xf numFmtId="165" fontId="0" fillId="0" borderId="0" xfId="1" applyNumberFormat="1" applyFont="1" applyAlignment="1">
      <alignment horizontal="center" vertical="center"/>
    </xf>
    <xf numFmtId="43" fontId="4" fillId="0" borderId="0" xfId="1" applyFont="1" applyFill="1" applyBorder="1" applyAlignment="1">
      <alignment horizontal="center" vertical="center"/>
    </xf>
    <xf numFmtId="164" fontId="0" fillId="0" borderId="0" xfId="1" applyNumberFormat="1" applyFont="1" applyAlignment="1">
      <alignment horizontal="center" vertical="center"/>
    </xf>
    <xf numFmtId="43" fontId="3" fillId="0" borderId="1" xfId="1" applyFont="1" applyBorder="1" applyAlignment="1">
      <alignment horizontal="center" vertical="center" wrapText="1"/>
    </xf>
    <xf numFmtId="3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64" fontId="0" fillId="0" borderId="3" xfId="1" applyNumberFormat="1" applyFont="1" applyBorder="1" applyAlignment="1">
      <alignment horizontal="center" vertical="center"/>
    </xf>
    <xf numFmtId="164" fontId="5" fillId="0" borderId="0" xfId="1" applyNumberFormat="1" applyFont="1" applyFill="1" applyBorder="1" applyAlignment="1">
      <alignment horizontal="center" vertical="center"/>
    </xf>
    <xf numFmtId="43" fontId="3" fillId="0" borderId="1" xfId="1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3" fontId="5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0" xfId="1" applyNumberFormat="1" applyFont="1" applyBorder="1" applyAlignment="1">
      <alignment horizontal="center" vertical="center"/>
    </xf>
    <xf numFmtId="0" fontId="3" fillId="0" borderId="0" xfId="2" applyFont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43" fontId="0" fillId="0" borderId="0" xfId="1" applyFont="1" applyFill="1" applyAlignment="1">
      <alignment horizontal="center" vertical="center"/>
    </xf>
    <xf numFmtId="165" fontId="0" fillId="0" borderId="0" xfId="1" applyNumberFormat="1" applyFont="1" applyFill="1" applyBorder="1" applyAlignment="1">
      <alignment horizontal="center" vertical="center"/>
    </xf>
    <xf numFmtId="43" fontId="0" fillId="0" borderId="0" xfId="1" applyFont="1" applyAlignment="1">
      <alignment horizontal="center" vertical="center" wrapText="1"/>
    </xf>
    <xf numFmtId="43" fontId="0" fillId="0" borderId="0" xfId="1" applyFont="1" applyAlignment="1">
      <alignment horizontal="left"/>
    </xf>
  </cellXfs>
  <cellStyles count="3">
    <cellStyle name="Comma" xfId="1" builtinId="3"/>
    <cellStyle name="Normal" xfId="0" builtinId="0"/>
    <cellStyle name="Normale_ALT_proposte" xfId="2" xr:uid="{6ECB6C17-E428-4E6C-A8DB-ADFD49E1FD4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D3094-1B9F-4FA1-86D1-4B4E97E748D1}">
  <dimension ref="A1:Y330"/>
  <sheetViews>
    <sheetView tabSelected="1" topLeftCell="L2" workbookViewId="0">
      <selection activeCell="P10" sqref="P10"/>
    </sheetView>
  </sheetViews>
  <sheetFormatPr defaultRowHeight="15" customHeight="1" x14ac:dyDescent="0.3"/>
  <cols>
    <col min="1" max="1" width="8.88671875" style="10"/>
    <col min="2" max="2" width="29.33203125" style="10" bestFit="1" customWidth="1"/>
    <col min="3" max="7" width="11.5546875" style="10" customWidth="1"/>
    <col min="8" max="8" width="13.33203125" style="10" customWidth="1"/>
    <col min="9" max="9" width="13" style="10" customWidth="1"/>
    <col min="10" max="10" width="16.88671875" style="10" customWidth="1"/>
    <col min="11" max="11" width="15.21875" style="10" customWidth="1"/>
    <col min="12" max="12" width="16.77734375" style="10" customWidth="1"/>
    <col min="13" max="13" width="12.6640625" style="10" customWidth="1"/>
    <col min="14" max="14" width="15.21875" style="10" customWidth="1"/>
    <col min="15" max="15" width="12.88671875" style="10" customWidth="1"/>
    <col min="16" max="16" width="11.88671875" style="10" customWidth="1"/>
    <col min="17" max="17" width="16.33203125" style="10" bestFit="1" customWidth="1"/>
    <col min="18" max="18" width="18.109375" style="11" customWidth="1"/>
    <col min="19" max="19" width="18.44140625" style="10" bestFit="1" customWidth="1"/>
    <col min="20" max="21" width="8.88671875" style="10"/>
    <col min="22" max="22" width="10.109375" style="14" bestFit="1" customWidth="1"/>
    <col min="23" max="23" width="20.44140625" style="11" customWidth="1"/>
    <col min="24" max="24" width="9.44140625" style="10" bestFit="1" customWidth="1"/>
    <col min="25" max="16384" width="8.88671875" style="10"/>
  </cols>
  <sheetData>
    <row r="1" spans="1:24" s="6" customFormat="1" ht="46.2" customHeight="1" x14ac:dyDescent="0.3">
      <c r="A1" s="6" t="s">
        <v>353</v>
      </c>
      <c r="B1" s="6" t="s">
        <v>0</v>
      </c>
      <c r="C1" s="6" t="s">
        <v>1</v>
      </c>
      <c r="D1" s="6" t="s">
        <v>333</v>
      </c>
      <c r="E1" s="6" t="s">
        <v>334</v>
      </c>
      <c r="F1" s="6" t="s">
        <v>335</v>
      </c>
      <c r="G1" s="6" t="s">
        <v>336</v>
      </c>
      <c r="H1" s="6" t="s">
        <v>337</v>
      </c>
      <c r="I1" s="6" t="s">
        <v>338</v>
      </c>
      <c r="J1" s="6" t="s">
        <v>339</v>
      </c>
      <c r="K1" s="6" t="s">
        <v>341</v>
      </c>
      <c r="L1" s="6" t="s">
        <v>340</v>
      </c>
      <c r="M1" s="6" t="s">
        <v>342</v>
      </c>
      <c r="N1" s="6" t="s">
        <v>369</v>
      </c>
      <c r="O1" s="6" t="s">
        <v>343</v>
      </c>
      <c r="P1" s="6" t="s">
        <v>344</v>
      </c>
      <c r="Q1" s="6" t="s">
        <v>345</v>
      </c>
      <c r="R1" s="32" t="s">
        <v>346</v>
      </c>
      <c r="S1" s="6" t="s">
        <v>347</v>
      </c>
      <c r="T1" s="6" t="s">
        <v>348</v>
      </c>
      <c r="U1" s="6" t="s">
        <v>349</v>
      </c>
      <c r="V1" s="8" t="s">
        <v>350</v>
      </c>
      <c r="W1" s="7" t="s">
        <v>351</v>
      </c>
      <c r="X1" s="6" t="s">
        <v>352</v>
      </c>
    </row>
    <row r="2" spans="1:24" ht="15" customHeight="1" x14ac:dyDescent="0.3">
      <c r="A2" s="9">
        <v>33001</v>
      </c>
      <c r="B2" s="9" t="s">
        <v>2</v>
      </c>
      <c r="C2" s="10" t="s">
        <v>3</v>
      </c>
      <c r="D2" s="10">
        <v>2</v>
      </c>
      <c r="E2" s="11">
        <v>7.0912781249999997</v>
      </c>
      <c r="F2" s="10">
        <v>638</v>
      </c>
      <c r="G2" s="10">
        <v>0.74806791815550255</v>
      </c>
      <c r="H2" s="12">
        <v>0</v>
      </c>
      <c r="I2" s="10">
        <v>0</v>
      </c>
      <c r="J2" s="13">
        <v>0</v>
      </c>
      <c r="K2" s="14">
        <v>1979</v>
      </c>
      <c r="L2" s="14">
        <v>2070</v>
      </c>
      <c r="M2" s="14">
        <v>427</v>
      </c>
      <c r="N2" s="15">
        <v>36.145600000000002</v>
      </c>
      <c r="O2" s="11">
        <f t="shared" ref="O2:O65" si="0">K2/N2</f>
        <v>54.750785711123896</v>
      </c>
      <c r="P2" s="10">
        <v>17</v>
      </c>
      <c r="Q2" s="16">
        <v>15944</v>
      </c>
      <c r="R2" s="11">
        <v>2982747.0600000005</v>
      </c>
      <c r="S2" s="17">
        <v>67.46987951807229</v>
      </c>
      <c r="T2" s="10">
        <v>1</v>
      </c>
      <c r="U2" s="12">
        <v>7.295159059474414E-2</v>
      </c>
      <c r="V2" s="14">
        <v>137</v>
      </c>
      <c r="W2" s="11">
        <v>3063.5988999999995</v>
      </c>
      <c r="X2" s="18">
        <v>115</v>
      </c>
    </row>
    <row r="3" spans="1:24" ht="15" customHeight="1" x14ac:dyDescent="0.3">
      <c r="A3" s="9">
        <v>34001</v>
      </c>
      <c r="B3" s="9" t="s">
        <v>4</v>
      </c>
      <c r="C3" s="10" t="s">
        <v>5</v>
      </c>
      <c r="D3" s="10">
        <v>5</v>
      </c>
      <c r="E3" s="11">
        <v>-32.329542114999995</v>
      </c>
      <c r="F3" s="10">
        <v>749</v>
      </c>
      <c r="G3" s="10">
        <v>0.43851565065303194</v>
      </c>
      <c r="H3" s="12">
        <v>0</v>
      </c>
      <c r="I3" s="10">
        <v>0</v>
      </c>
      <c r="J3" s="13">
        <v>0</v>
      </c>
      <c r="K3" s="14">
        <v>2087</v>
      </c>
      <c r="L3" s="14">
        <v>2165</v>
      </c>
      <c r="M3" s="14">
        <v>511</v>
      </c>
      <c r="N3" s="15">
        <v>104.105</v>
      </c>
      <c r="O3" s="11">
        <f t="shared" si="0"/>
        <v>20.047067864175592</v>
      </c>
      <c r="P3" s="10">
        <v>89</v>
      </c>
      <c r="Q3" s="16">
        <v>13659</v>
      </c>
      <c r="R3" s="11">
        <v>2113924.3900000011</v>
      </c>
      <c r="S3" s="17">
        <v>63.950198075834749</v>
      </c>
      <c r="T3" s="10">
        <v>1</v>
      </c>
      <c r="U3" s="12">
        <v>0.72628181730861585</v>
      </c>
      <c r="V3" s="14">
        <v>128</v>
      </c>
      <c r="W3" s="11">
        <v>3897.2999999999975</v>
      </c>
      <c r="X3" s="18">
        <v>132</v>
      </c>
    </row>
    <row r="4" spans="1:24" ht="15" customHeight="1" x14ac:dyDescent="0.3">
      <c r="A4" s="9">
        <v>35001</v>
      </c>
      <c r="B4" s="9" t="s">
        <v>6</v>
      </c>
      <c r="C4" s="10" t="s">
        <v>7</v>
      </c>
      <c r="D4" s="10">
        <v>3</v>
      </c>
      <c r="E4" s="11">
        <v>56.275681116999998</v>
      </c>
      <c r="F4" s="10">
        <v>652</v>
      </c>
      <c r="G4" s="10">
        <v>0.90383561773066445</v>
      </c>
      <c r="H4" s="12">
        <v>0</v>
      </c>
      <c r="I4" s="10">
        <v>0</v>
      </c>
      <c r="J4" s="13">
        <v>0</v>
      </c>
      <c r="K4" s="14">
        <v>8817</v>
      </c>
      <c r="L4" s="19">
        <v>8755</v>
      </c>
      <c r="M4" s="14">
        <v>1651</v>
      </c>
      <c r="N4" s="15">
        <v>43.889000000000003</v>
      </c>
      <c r="O4" s="11">
        <f t="shared" si="0"/>
        <v>200.89316229579165</v>
      </c>
      <c r="P4" s="10">
        <v>0</v>
      </c>
      <c r="Q4" s="16">
        <v>22115</v>
      </c>
      <c r="R4" s="11">
        <v>9957489.0099999979</v>
      </c>
      <c r="S4" s="17">
        <v>79.263977353149329</v>
      </c>
      <c r="T4" s="10">
        <v>0</v>
      </c>
      <c r="U4" s="12">
        <v>0.26889496468443835</v>
      </c>
      <c r="V4" s="14">
        <v>724</v>
      </c>
      <c r="W4" s="11">
        <v>2974.9862000000012</v>
      </c>
      <c r="X4" s="18">
        <v>148</v>
      </c>
    </row>
    <row r="5" spans="1:24" ht="15" customHeight="1" x14ac:dyDescent="0.3">
      <c r="A5" s="9">
        <v>39001</v>
      </c>
      <c r="B5" s="9" t="s">
        <v>8</v>
      </c>
      <c r="C5" s="10" t="s">
        <v>9</v>
      </c>
      <c r="D5" s="10">
        <v>4</v>
      </c>
      <c r="E5" s="11">
        <v>64.423825179999994</v>
      </c>
      <c r="F5" s="10">
        <v>694</v>
      </c>
      <c r="G5" s="10">
        <v>0.78052287951548516</v>
      </c>
      <c r="H5" s="12">
        <v>1.1000000000000001E-3</v>
      </c>
      <c r="I5" s="10">
        <v>1</v>
      </c>
      <c r="J5" s="13">
        <v>0</v>
      </c>
      <c r="K5" s="14">
        <v>11477</v>
      </c>
      <c r="L5" s="14">
        <v>12245</v>
      </c>
      <c r="M5" s="14">
        <v>2699</v>
      </c>
      <c r="N5" s="15">
        <v>106.79219999999999</v>
      </c>
      <c r="O5" s="11">
        <f t="shared" si="0"/>
        <v>107.4703957779688</v>
      </c>
      <c r="P5" s="10">
        <v>9</v>
      </c>
      <c r="Q5" s="16">
        <v>15556</v>
      </c>
      <c r="R5" s="11">
        <v>12330416.159999995</v>
      </c>
      <c r="S5" s="17">
        <v>71.958206943040111</v>
      </c>
      <c r="T5" s="10">
        <v>0</v>
      </c>
      <c r="U5" s="12">
        <v>6.9969098230171362E-3</v>
      </c>
      <c r="V5" s="14">
        <v>776</v>
      </c>
      <c r="W5" s="11">
        <v>9382.6889999999967</v>
      </c>
      <c r="X5" s="18">
        <v>373</v>
      </c>
    </row>
    <row r="6" spans="1:24" ht="15" customHeight="1" x14ac:dyDescent="0.3">
      <c r="A6" s="9">
        <v>33002</v>
      </c>
      <c r="B6" s="9" t="s">
        <v>10</v>
      </c>
      <c r="C6" s="10" t="s">
        <v>3</v>
      </c>
      <c r="D6" s="10">
        <v>8</v>
      </c>
      <c r="E6" s="11">
        <v>70.11559702400001</v>
      </c>
      <c r="F6" s="10">
        <v>711</v>
      </c>
      <c r="G6" s="10">
        <v>0.6792771584664089</v>
      </c>
      <c r="H6" s="12">
        <v>5.9400000000000001E-2</v>
      </c>
      <c r="I6" s="10">
        <v>0</v>
      </c>
      <c r="J6" s="13">
        <v>0</v>
      </c>
      <c r="K6" s="14">
        <v>4684</v>
      </c>
      <c r="L6" s="14">
        <v>4823</v>
      </c>
      <c r="M6" s="14">
        <v>857</v>
      </c>
      <c r="N6" s="15">
        <v>55.270299999999999</v>
      </c>
      <c r="O6" s="11">
        <f t="shared" si="0"/>
        <v>84.747142678798568</v>
      </c>
      <c r="P6" s="10">
        <v>47</v>
      </c>
      <c r="Q6" s="16">
        <v>16211</v>
      </c>
      <c r="R6" s="11">
        <v>4375611.9400000023</v>
      </c>
      <c r="S6" s="17">
        <v>72.93502202643171</v>
      </c>
      <c r="T6" s="10">
        <v>1</v>
      </c>
      <c r="U6" s="12">
        <v>0.10033291116337976</v>
      </c>
      <c r="V6" s="14">
        <v>359</v>
      </c>
      <c r="W6" s="11">
        <v>4706.2295000000022</v>
      </c>
      <c r="X6" s="18">
        <v>161</v>
      </c>
    </row>
    <row r="7" spans="1:24" ht="15" customHeight="1" x14ac:dyDescent="0.3">
      <c r="A7" s="9">
        <v>33049</v>
      </c>
      <c r="B7" s="9" t="s">
        <v>11</v>
      </c>
      <c r="C7" s="10" t="s">
        <v>3</v>
      </c>
      <c r="D7" s="10">
        <v>2</v>
      </c>
      <c r="E7" s="11">
        <v>-11.476620007999998</v>
      </c>
      <c r="F7" s="10">
        <v>678</v>
      </c>
      <c r="G7" s="10">
        <v>0.60547076245649789</v>
      </c>
      <c r="H7" s="12">
        <v>0</v>
      </c>
      <c r="I7" s="10">
        <v>0</v>
      </c>
      <c r="J7" s="13">
        <v>0</v>
      </c>
      <c r="K7" s="14">
        <v>2907</v>
      </c>
      <c r="L7" s="20">
        <v>3349</v>
      </c>
      <c r="M7" s="14">
        <v>840</v>
      </c>
      <c r="N7" s="21">
        <v>100.86499999999999</v>
      </c>
      <c r="O7" s="11">
        <f t="shared" si="0"/>
        <v>28.820700936895854</v>
      </c>
      <c r="P7" s="22">
        <v>17</v>
      </c>
      <c r="Q7" s="23">
        <v>14540</v>
      </c>
      <c r="R7" s="11">
        <v>4614267.6500000004</v>
      </c>
      <c r="S7" s="17">
        <v>68.53233830845771</v>
      </c>
      <c r="T7" s="10">
        <v>1</v>
      </c>
      <c r="U7" s="12">
        <v>0.38837894110648419</v>
      </c>
      <c r="V7" s="14">
        <v>226</v>
      </c>
      <c r="W7" s="11">
        <v>5647.5490999999984</v>
      </c>
      <c r="X7" s="10">
        <v>291</v>
      </c>
    </row>
    <row r="8" spans="1:24" ht="15" customHeight="1" x14ac:dyDescent="0.3">
      <c r="A8" s="9">
        <v>37062</v>
      </c>
      <c r="B8" s="9" t="s">
        <v>12</v>
      </c>
      <c r="C8" s="10" t="s">
        <v>13</v>
      </c>
      <c r="D8" s="10">
        <v>0</v>
      </c>
      <c r="E8" s="11">
        <v>-45.246576660000002</v>
      </c>
      <c r="F8" s="10">
        <v>663</v>
      </c>
      <c r="G8" s="10">
        <v>0.45524698993411666</v>
      </c>
      <c r="H8" s="12">
        <v>1.8430200977729496E-3</v>
      </c>
      <c r="I8" s="10">
        <v>3</v>
      </c>
      <c r="J8" s="13">
        <v>0</v>
      </c>
      <c r="K8" s="14">
        <v>6951</v>
      </c>
      <c r="L8" s="24">
        <v>6967</v>
      </c>
      <c r="M8" s="14">
        <v>1488</v>
      </c>
      <c r="N8" s="21">
        <v>73.632499999999993</v>
      </c>
      <c r="O8" s="11">
        <f t="shared" si="0"/>
        <v>94.401249448273532</v>
      </c>
      <c r="P8" s="22">
        <v>11</v>
      </c>
      <c r="Q8" s="16">
        <v>15625</v>
      </c>
      <c r="R8" s="11">
        <v>9605646.9900000021</v>
      </c>
      <c r="S8" s="17">
        <v>67.545152967194994</v>
      </c>
      <c r="T8" s="10">
        <v>0</v>
      </c>
      <c r="U8" s="12">
        <v>0.81158881042911457</v>
      </c>
      <c r="V8" s="14">
        <v>548</v>
      </c>
      <c r="W8" s="11">
        <v>640.13350000000014</v>
      </c>
      <c r="X8" s="22">
        <v>70</v>
      </c>
    </row>
    <row r="9" spans="1:24" ht="15" customHeight="1" x14ac:dyDescent="0.3">
      <c r="A9" s="9">
        <v>37001</v>
      </c>
      <c r="B9" s="9" t="s">
        <v>14</v>
      </c>
      <c r="C9" s="10" t="s">
        <v>13</v>
      </c>
      <c r="D9" s="10">
        <v>1</v>
      </c>
      <c r="E9" s="11">
        <v>79.964817772999993</v>
      </c>
      <c r="F9" s="10">
        <v>633</v>
      </c>
      <c r="G9" s="10">
        <v>0.90876834787992666</v>
      </c>
      <c r="H9" s="12">
        <v>0</v>
      </c>
      <c r="I9" s="10">
        <v>2</v>
      </c>
      <c r="J9" s="13">
        <v>0</v>
      </c>
      <c r="K9" s="14">
        <v>12377</v>
      </c>
      <c r="L9" s="14">
        <v>11851</v>
      </c>
      <c r="M9" s="14">
        <v>2270</v>
      </c>
      <c r="N9" s="15">
        <v>36.596699999999998</v>
      </c>
      <c r="O9" s="11">
        <f t="shared" si="0"/>
        <v>338.19989234001974</v>
      </c>
      <c r="P9" s="10">
        <v>1</v>
      </c>
      <c r="Q9" s="16">
        <v>18033</v>
      </c>
      <c r="R9" s="11">
        <v>11975725.529999992</v>
      </c>
      <c r="S9" s="17">
        <v>76.035567122099323</v>
      </c>
      <c r="T9" s="10">
        <v>0</v>
      </c>
      <c r="U9" s="12">
        <v>2.5106557377049182E-2</v>
      </c>
      <c r="V9" s="14">
        <v>1107</v>
      </c>
      <c r="W9" s="11">
        <v>2518.4493999999986</v>
      </c>
      <c r="X9" s="18">
        <v>147</v>
      </c>
    </row>
    <row r="10" spans="1:24" ht="15" customHeight="1" x14ac:dyDescent="0.3">
      <c r="A10" s="9">
        <v>37002</v>
      </c>
      <c r="B10" s="9" t="s">
        <v>15</v>
      </c>
      <c r="C10" s="10" t="s">
        <v>13</v>
      </c>
      <c r="D10" s="10">
        <v>2</v>
      </c>
      <c r="E10" s="11">
        <v>42.878955593000001</v>
      </c>
      <c r="F10" s="10">
        <v>691</v>
      </c>
      <c r="G10" s="10">
        <v>0.81775213376368472</v>
      </c>
      <c r="H10" s="12">
        <v>0</v>
      </c>
      <c r="I10" s="10">
        <v>1</v>
      </c>
      <c r="J10" s="13">
        <v>0</v>
      </c>
      <c r="K10" s="14">
        <v>9635</v>
      </c>
      <c r="L10" s="25">
        <v>9656</v>
      </c>
      <c r="M10" s="14">
        <v>1808</v>
      </c>
      <c r="N10" s="15">
        <v>35.1038</v>
      </c>
      <c r="O10" s="11">
        <f t="shared" si="0"/>
        <v>274.47170961548323</v>
      </c>
      <c r="P10" s="10">
        <v>37</v>
      </c>
      <c r="Q10" s="16">
        <v>18022</v>
      </c>
      <c r="R10" s="11">
        <v>16168277.659999998</v>
      </c>
      <c r="S10" s="17">
        <v>76.772126551862229</v>
      </c>
      <c r="T10" s="10">
        <v>0</v>
      </c>
      <c r="U10" s="12">
        <v>2.4247863247863245E-2</v>
      </c>
      <c r="V10" s="14">
        <v>1351</v>
      </c>
      <c r="W10" s="11">
        <v>2660.9809000000014</v>
      </c>
      <c r="X10" s="18">
        <v>135</v>
      </c>
    </row>
    <row r="11" spans="1:24" ht="15" customHeight="1" x14ac:dyDescent="0.3">
      <c r="A11" s="9">
        <v>38001</v>
      </c>
      <c r="B11" s="9" t="s">
        <v>16</v>
      </c>
      <c r="C11" s="10" t="s">
        <v>17</v>
      </c>
      <c r="D11" s="10">
        <v>7</v>
      </c>
      <c r="E11" s="11">
        <v>171.35842964</v>
      </c>
      <c r="F11" s="10">
        <v>653</v>
      </c>
      <c r="G11" s="10">
        <v>0.69413468892384844</v>
      </c>
      <c r="H11" s="12">
        <v>0.10490000000000001</v>
      </c>
      <c r="I11" s="10">
        <v>3</v>
      </c>
      <c r="J11" s="10">
        <v>2</v>
      </c>
      <c r="K11" s="14">
        <v>20917</v>
      </c>
      <c r="L11" s="14">
        <v>22133</v>
      </c>
      <c r="M11" s="14">
        <v>4598</v>
      </c>
      <c r="N11" s="15">
        <v>311.6678</v>
      </c>
      <c r="O11" s="11">
        <f t="shared" si="0"/>
        <v>67.113124936230179</v>
      </c>
      <c r="P11" s="10">
        <v>22</v>
      </c>
      <c r="Q11" s="16">
        <v>14894</v>
      </c>
      <c r="R11" s="11">
        <v>21394512.220000017</v>
      </c>
      <c r="S11" s="17">
        <v>72.095608671484158</v>
      </c>
      <c r="T11" s="10">
        <v>0</v>
      </c>
      <c r="U11" s="12">
        <v>2.0658709532518367E-2</v>
      </c>
      <c r="V11" s="14">
        <v>1355</v>
      </c>
      <c r="W11" s="11">
        <v>26276.138700000029</v>
      </c>
      <c r="X11" s="18">
        <v>777</v>
      </c>
    </row>
    <row r="12" spans="1:24" ht="15" customHeight="1" x14ac:dyDescent="0.3">
      <c r="A12" s="9">
        <v>39002</v>
      </c>
      <c r="B12" s="9" t="s">
        <v>18</v>
      </c>
      <c r="C12" s="10" t="s">
        <v>9</v>
      </c>
      <c r="D12" s="10">
        <v>8</v>
      </c>
      <c r="E12" s="11">
        <v>74.558154029999997</v>
      </c>
      <c r="F12" s="10">
        <v>690</v>
      </c>
      <c r="G12" s="10">
        <v>0.81222469428554478</v>
      </c>
      <c r="H12" s="12">
        <v>0</v>
      </c>
      <c r="I12" s="10">
        <v>2</v>
      </c>
      <c r="J12" s="10">
        <v>1</v>
      </c>
      <c r="K12" s="14">
        <v>16360</v>
      </c>
      <c r="L12" s="14">
        <v>16715</v>
      </c>
      <c r="M12" s="14">
        <v>3471</v>
      </c>
      <c r="N12" s="15">
        <v>79.580600000000004</v>
      </c>
      <c r="O12" s="11">
        <f t="shared" si="0"/>
        <v>205.57774130881143</v>
      </c>
      <c r="P12" s="10">
        <v>3</v>
      </c>
      <c r="Q12" s="16">
        <v>15813</v>
      </c>
      <c r="R12" s="11">
        <v>14317489.789999997</v>
      </c>
      <c r="S12" s="17">
        <v>73.93681164080715</v>
      </c>
      <c r="T12" s="10">
        <v>0</v>
      </c>
      <c r="U12" s="12">
        <v>2.0485046494093995E-2</v>
      </c>
      <c r="V12" s="14">
        <v>1149</v>
      </c>
      <c r="W12" s="11">
        <v>6596.8714999999975</v>
      </c>
      <c r="X12" s="18">
        <v>602</v>
      </c>
    </row>
    <row r="13" spans="1:24" ht="15" customHeight="1" x14ac:dyDescent="0.3">
      <c r="A13" s="9">
        <v>39003</v>
      </c>
      <c r="B13" s="9" t="s">
        <v>19</v>
      </c>
      <c r="C13" s="10" t="s">
        <v>9</v>
      </c>
      <c r="D13" s="10">
        <v>2</v>
      </c>
      <c r="E13" s="11">
        <v>11.178375316</v>
      </c>
      <c r="F13" s="10">
        <v>644</v>
      </c>
      <c r="G13" s="10">
        <v>0.73126672054047814</v>
      </c>
      <c r="H13" s="12">
        <v>0</v>
      </c>
      <c r="I13" s="10">
        <v>0</v>
      </c>
      <c r="J13" s="13">
        <v>0</v>
      </c>
      <c r="K13" s="14">
        <v>2392</v>
      </c>
      <c r="L13" s="14">
        <v>2348</v>
      </c>
      <c r="M13" s="14">
        <v>402</v>
      </c>
      <c r="N13" s="15">
        <v>9.9580000000000002</v>
      </c>
      <c r="O13" s="11">
        <f t="shared" si="0"/>
        <v>240.2088772845953</v>
      </c>
      <c r="P13" s="10">
        <v>0</v>
      </c>
      <c r="Q13" s="16">
        <v>16299</v>
      </c>
      <c r="R13" s="11">
        <v>2788753.2200000011</v>
      </c>
      <c r="S13" s="17">
        <v>76.601830663615559</v>
      </c>
      <c r="T13" s="10">
        <v>1</v>
      </c>
      <c r="U13" s="12">
        <v>1.9016064257028113E-2</v>
      </c>
      <c r="V13" s="14">
        <v>149</v>
      </c>
      <c r="W13" s="11">
        <v>781.82209999999986</v>
      </c>
      <c r="X13" s="18">
        <v>103</v>
      </c>
    </row>
    <row r="14" spans="1:24" ht="15" customHeight="1" x14ac:dyDescent="0.3">
      <c r="A14" s="9">
        <v>40001</v>
      </c>
      <c r="B14" s="9" t="s">
        <v>20</v>
      </c>
      <c r="C14" s="10" t="s">
        <v>21</v>
      </c>
      <c r="D14" s="10">
        <v>15</v>
      </c>
      <c r="E14" s="11">
        <v>-56.432662030000003</v>
      </c>
      <c r="F14" s="10">
        <v>654</v>
      </c>
      <c r="G14" s="10">
        <v>0.4547417758170258</v>
      </c>
      <c r="H14" s="12">
        <v>0.23850000000000002</v>
      </c>
      <c r="I14" s="10">
        <v>0</v>
      </c>
      <c r="J14" s="13">
        <v>0</v>
      </c>
      <c r="K14" s="14">
        <v>5592</v>
      </c>
      <c r="L14" s="14">
        <v>6138</v>
      </c>
      <c r="M14" s="14">
        <v>1210</v>
      </c>
      <c r="N14" s="15">
        <v>233.51750000000001</v>
      </c>
      <c r="O14" s="11">
        <f t="shared" si="0"/>
        <v>23.946813407988692</v>
      </c>
      <c r="P14" s="10">
        <v>25</v>
      </c>
      <c r="Q14" s="16">
        <v>14165</v>
      </c>
      <c r="R14" s="11">
        <v>8993165.989999989</v>
      </c>
      <c r="S14" s="17">
        <v>74.383802816901408</v>
      </c>
      <c r="T14" s="10">
        <v>0</v>
      </c>
      <c r="U14" s="12">
        <v>0.74494475847893116</v>
      </c>
      <c r="V14" s="14">
        <v>559</v>
      </c>
      <c r="W14" s="11">
        <v>8382.1841999999979</v>
      </c>
      <c r="X14" s="18">
        <v>243</v>
      </c>
    </row>
    <row r="15" spans="1:24" ht="15" customHeight="1" x14ac:dyDescent="0.3">
      <c r="A15" s="9">
        <v>35002</v>
      </c>
      <c r="B15" s="9" t="s">
        <v>22</v>
      </c>
      <c r="C15" s="10" t="s">
        <v>7</v>
      </c>
      <c r="D15" s="10">
        <v>0</v>
      </c>
      <c r="E15" s="11">
        <v>47.864209049999999</v>
      </c>
      <c r="F15" s="10">
        <v>603</v>
      </c>
      <c r="G15" s="10">
        <v>0.77641850194616491</v>
      </c>
      <c r="H15" s="12">
        <v>0</v>
      </c>
      <c r="I15" s="10">
        <v>0</v>
      </c>
      <c r="J15" s="13">
        <v>0</v>
      </c>
      <c r="K15" s="14">
        <v>9556</v>
      </c>
      <c r="L15" s="14">
        <v>9386</v>
      </c>
      <c r="M15" s="14">
        <v>1588</v>
      </c>
      <c r="N15" s="15">
        <v>26.939599999999999</v>
      </c>
      <c r="O15" s="11">
        <f t="shared" si="0"/>
        <v>354.71944646542636</v>
      </c>
      <c r="P15" s="10">
        <v>2</v>
      </c>
      <c r="Q15" s="16">
        <v>15369</v>
      </c>
      <c r="R15" s="11">
        <v>7405051.3300000001</v>
      </c>
      <c r="S15" s="17">
        <v>73.419681824581161</v>
      </c>
      <c r="T15" s="10">
        <v>0</v>
      </c>
      <c r="U15" s="12">
        <v>1.0519673348181142E-2</v>
      </c>
      <c r="V15" s="14">
        <v>687</v>
      </c>
      <c r="W15" s="11">
        <v>1975.7365000000004</v>
      </c>
      <c r="X15" s="18">
        <v>128</v>
      </c>
    </row>
    <row r="16" spans="1:24" ht="15" customHeight="1" x14ac:dyDescent="0.3">
      <c r="A16" s="9">
        <v>35003</v>
      </c>
      <c r="B16" s="9" t="s">
        <v>23</v>
      </c>
      <c r="C16" s="10" t="s">
        <v>7</v>
      </c>
      <c r="D16" s="10">
        <v>3</v>
      </c>
      <c r="E16" s="11">
        <v>1.2721697199999973</v>
      </c>
      <c r="F16" s="10">
        <v>721</v>
      </c>
      <c r="G16" s="10">
        <v>0.44420752097875876</v>
      </c>
      <c r="H16" s="12">
        <v>0</v>
      </c>
      <c r="I16" s="10">
        <v>0</v>
      </c>
      <c r="J16" s="13">
        <v>0</v>
      </c>
      <c r="K16" s="14">
        <v>3208</v>
      </c>
      <c r="L16" s="14">
        <v>3403</v>
      </c>
      <c r="M16" s="14">
        <v>653</v>
      </c>
      <c r="N16" s="15">
        <v>75.554199999999994</v>
      </c>
      <c r="O16" s="11">
        <f t="shared" si="0"/>
        <v>42.459585304324584</v>
      </c>
      <c r="P16" s="10">
        <v>20</v>
      </c>
      <c r="Q16" s="16">
        <v>16110</v>
      </c>
      <c r="R16" s="11">
        <v>3830378.8400000003</v>
      </c>
      <c r="S16" s="17">
        <v>68.993180906538313</v>
      </c>
      <c r="T16" s="10">
        <v>1</v>
      </c>
      <c r="U16" s="12">
        <v>0.35516876240900069</v>
      </c>
      <c r="V16" s="14">
        <v>228</v>
      </c>
      <c r="W16" s="11">
        <v>3848.9206999999983</v>
      </c>
      <c r="X16" s="18">
        <v>192</v>
      </c>
    </row>
    <row r="17" spans="1:24" ht="15" customHeight="1" x14ac:dyDescent="0.3">
      <c r="A17" s="9">
        <v>34002</v>
      </c>
      <c r="B17" s="9" t="s">
        <v>24</v>
      </c>
      <c r="C17" s="10" t="s">
        <v>5</v>
      </c>
      <c r="D17" s="10">
        <v>5</v>
      </c>
      <c r="E17" s="11">
        <v>-47.747407786000004</v>
      </c>
      <c r="F17" s="10">
        <v>790</v>
      </c>
      <c r="G17" s="10">
        <v>0.27798606992595515</v>
      </c>
      <c r="H17" s="12">
        <v>0</v>
      </c>
      <c r="I17" s="10">
        <v>0</v>
      </c>
      <c r="J17" s="13">
        <v>0</v>
      </c>
      <c r="K17" s="14">
        <v>2017</v>
      </c>
      <c r="L17" s="14">
        <v>2337</v>
      </c>
      <c r="M17" s="14">
        <v>622</v>
      </c>
      <c r="N17" s="15">
        <v>189.89689999999999</v>
      </c>
      <c r="O17" s="11">
        <f t="shared" si="0"/>
        <v>10.62155306379409</v>
      </c>
      <c r="P17" s="10">
        <v>100</v>
      </c>
      <c r="Q17" s="16">
        <v>13829</v>
      </c>
      <c r="R17" s="11">
        <v>3708792.5000000005</v>
      </c>
      <c r="S17" s="17">
        <v>61.588235294117645</v>
      </c>
      <c r="T17" s="10">
        <v>1</v>
      </c>
      <c r="U17" s="12">
        <v>0.73517061611374412</v>
      </c>
      <c r="V17" s="14">
        <v>165</v>
      </c>
      <c r="W17" s="11">
        <v>5725.3789899999992</v>
      </c>
      <c r="X17" s="18">
        <v>248</v>
      </c>
    </row>
    <row r="18" spans="1:24" ht="15" customHeight="1" x14ac:dyDescent="0.3">
      <c r="A18" s="9">
        <v>37003</v>
      </c>
      <c r="B18" s="9" t="s">
        <v>25</v>
      </c>
      <c r="C18" s="10" t="s">
        <v>13</v>
      </c>
      <c r="D18" s="10">
        <v>2</v>
      </c>
      <c r="E18" s="11">
        <v>60.896237361999994</v>
      </c>
      <c r="F18" s="10">
        <v>599</v>
      </c>
      <c r="G18" s="10">
        <v>0.75756538576570442</v>
      </c>
      <c r="H18" s="12">
        <v>0</v>
      </c>
      <c r="I18" s="10">
        <v>0</v>
      </c>
      <c r="J18" s="13">
        <v>0</v>
      </c>
      <c r="K18" s="14">
        <v>7068</v>
      </c>
      <c r="L18" s="14">
        <v>6763</v>
      </c>
      <c r="M18" s="14">
        <v>1204</v>
      </c>
      <c r="N18" s="15">
        <v>45.4846</v>
      </c>
      <c r="O18" s="11">
        <f t="shared" si="0"/>
        <v>155.3932539804681</v>
      </c>
      <c r="P18" s="10">
        <v>12</v>
      </c>
      <c r="Q18" s="16">
        <v>15051</v>
      </c>
      <c r="R18" s="11">
        <v>7910450.1600000029</v>
      </c>
      <c r="S18" s="17">
        <v>73.77112135176651</v>
      </c>
      <c r="T18" s="10">
        <v>0</v>
      </c>
      <c r="U18" s="12">
        <v>2.4670184696569925E-2</v>
      </c>
      <c r="V18" s="14">
        <v>420</v>
      </c>
      <c r="W18" s="11">
        <v>3812.3823000000007</v>
      </c>
      <c r="X18" s="18">
        <v>159</v>
      </c>
    </row>
    <row r="19" spans="1:24" ht="15" customHeight="1" x14ac:dyDescent="0.3">
      <c r="A19" s="9">
        <v>36001</v>
      </c>
      <c r="B19" s="9" t="s">
        <v>26</v>
      </c>
      <c r="C19" s="10" t="s">
        <v>27</v>
      </c>
      <c r="D19" s="10">
        <v>0</v>
      </c>
      <c r="E19" s="11">
        <v>14.201978841000001</v>
      </c>
      <c r="F19" s="10">
        <v>624</v>
      </c>
      <c r="G19" s="10">
        <v>0.91353299641515384</v>
      </c>
      <c r="H19" s="12">
        <v>0</v>
      </c>
      <c r="I19" s="10">
        <v>0</v>
      </c>
      <c r="J19" s="13">
        <v>0</v>
      </c>
      <c r="K19" s="14">
        <v>4185</v>
      </c>
      <c r="L19" s="14">
        <v>3985</v>
      </c>
      <c r="M19" s="14">
        <v>629</v>
      </c>
      <c r="N19" s="15">
        <v>10.4664</v>
      </c>
      <c r="O19" s="11">
        <f t="shared" si="0"/>
        <v>399.85095161660172</v>
      </c>
      <c r="P19" s="10">
        <v>0</v>
      </c>
      <c r="Q19" s="16">
        <v>15000</v>
      </c>
      <c r="R19" s="11">
        <v>4688262.3400000054</v>
      </c>
      <c r="S19" s="17">
        <v>72.548376516890784</v>
      </c>
      <c r="T19" s="10">
        <v>1</v>
      </c>
      <c r="U19" s="12">
        <v>1.0639923591212989E-2</v>
      </c>
      <c r="V19" s="14">
        <v>349</v>
      </c>
      <c r="W19" s="11">
        <v>818.27579999999989</v>
      </c>
      <c r="X19" s="18">
        <v>38</v>
      </c>
    </row>
    <row r="20" spans="1:24" ht="15" customHeight="1" x14ac:dyDescent="0.3">
      <c r="A20" s="9">
        <v>34003</v>
      </c>
      <c r="B20" s="9" t="s">
        <v>28</v>
      </c>
      <c r="C20" s="10" t="s">
        <v>5</v>
      </c>
      <c r="D20" s="10">
        <v>2</v>
      </c>
      <c r="E20" s="11">
        <v>-68.459957138999997</v>
      </c>
      <c r="F20" s="10">
        <v>667</v>
      </c>
      <c r="G20" s="10">
        <v>0.60042423438950021</v>
      </c>
      <c r="H20" s="12">
        <v>1E-4</v>
      </c>
      <c r="I20" s="10">
        <v>0</v>
      </c>
      <c r="J20" s="13">
        <v>0</v>
      </c>
      <c r="K20" s="14">
        <v>3111</v>
      </c>
      <c r="L20" s="14">
        <v>3617</v>
      </c>
      <c r="M20" s="14">
        <v>867</v>
      </c>
      <c r="N20" s="15">
        <v>169.5582</v>
      </c>
      <c r="O20" s="11">
        <f t="shared" si="0"/>
        <v>18.347682388701934</v>
      </c>
      <c r="P20" s="10">
        <v>38</v>
      </c>
      <c r="Q20" s="16">
        <v>13053</v>
      </c>
      <c r="R20" s="11">
        <v>4133438.2200000007</v>
      </c>
      <c r="S20" s="17">
        <v>66.273315569090215</v>
      </c>
      <c r="T20" s="10">
        <v>1</v>
      </c>
      <c r="U20" s="12">
        <v>0.83657643312101904</v>
      </c>
      <c r="V20" s="14">
        <v>290</v>
      </c>
      <c r="W20" s="11">
        <v>3929.516799999999</v>
      </c>
      <c r="X20" s="18">
        <v>204</v>
      </c>
    </row>
    <row r="21" spans="1:24" ht="15" customHeight="1" x14ac:dyDescent="0.3">
      <c r="A21" s="9">
        <v>99001</v>
      </c>
      <c r="B21" s="9" t="s">
        <v>29</v>
      </c>
      <c r="C21" s="10" t="s">
        <v>30</v>
      </c>
      <c r="D21" s="10">
        <v>1</v>
      </c>
      <c r="E21" s="11">
        <v>58.407086</v>
      </c>
      <c r="F21" s="10">
        <v>585</v>
      </c>
      <c r="G21" s="10">
        <v>0.65238346357875088</v>
      </c>
      <c r="H21" s="12">
        <v>0</v>
      </c>
      <c r="I21" s="10">
        <v>4</v>
      </c>
      <c r="J21" s="13">
        <v>0</v>
      </c>
      <c r="K21" s="14">
        <v>19455</v>
      </c>
      <c r="L21" s="14">
        <v>18591</v>
      </c>
      <c r="M21" s="14">
        <v>3181</v>
      </c>
      <c r="N21" s="15">
        <v>18.170100000000001</v>
      </c>
      <c r="O21" s="11">
        <f t="shared" si="0"/>
        <v>1070.7150758663959</v>
      </c>
      <c r="P21" s="10">
        <v>0</v>
      </c>
      <c r="Q21" s="16">
        <v>13301</v>
      </c>
      <c r="R21" s="11">
        <v>42987040.75</v>
      </c>
      <c r="S21" s="17">
        <v>67.771992326664844</v>
      </c>
      <c r="T21" s="10">
        <v>0</v>
      </c>
      <c r="U21" s="12">
        <v>1.3571821684094661E-2</v>
      </c>
      <c r="V21" s="14">
        <v>2288</v>
      </c>
      <c r="W21" s="11">
        <v>623.18930000000034</v>
      </c>
      <c r="X21" s="18">
        <v>146</v>
      </c>
    </row>
    <row r="22" spans="1:24" ht="15" customHeight="1" x14ac:dyDescent="0.3">
      <c r="A22" s="9">
        <v>37005</v>
      </c>
      <c r="B22" s="9" t="s">
        <v>31</v>
      </c>
      <c r="C22" s="10" t="s">
        <v>13</v>
      </c>
      <c r="D22" s="10">
        <v>0</v>
      </c>
      <c r="E22" s="11">
        <v>141.010012679</v>
      </c>
      <c r="F22" s="10">
        <v>664</v>
      </c>
      <c r="G22" s="10">
        <v>0.77858051734493816</v>
      </c>
      <c r="H22" s="12">
        <v>0</v>
      </c>
      <c r="I22" s="10">
        <v>0</v>
      </c>
      <c r="J22" s="13">
        <v>0</v>
      </c>
      <c r="K22" s="14">
        <v>5704</v>
      </c>
      <c r="L22" s="14">
        <v>5358</v>
      </c>
      <c r="M22" s="14">
        <v>956</v>
      </c>
      <c r="N22" s="15">
        <v>51.106299999999997</v>
      </c>
      <c r="O22" s="11">
        <f t="shared" si="0"/>
        <v>111.61050594545095</v>
      </c>
      <c r="P22" s="10">
        <v>15</v>
      </c>
      <c r="Q22" s="16">
        <v>18273</v>
      </c>
      <c r="R22" s="11">
        <v>8134592.3400000017</v>
      </c>
      <c r="S22" s="17">
        <v>74.865810968494756</v>
      </c>
      <c r="T22" s="10">
        <v>0</v>
      </c>
      <c r="U22" s="12">
        <v>1.496771668949325E-2</v>
      </c>
      <c r="V22" s="14">
        <v>598</v>
      </c>
      <c r="W22" s="11">
        <v>3723.8818999999976</v>
      </c>
      <c r="X22" s="18">
        <v>148</v>
      </c>
    </row>
    <row r="23" spans="1:24" ht="15" customHeight="1" x14ac:dyDescent="0.3">
      <c r="A23" s="9">
        <v>34004</v>
      </c>
      <c r="B23" s="9" t="s">
        <v>32</v>
      </c>
      <c r="C23" s="10" t="s">
        <v>5</v>
      </c>
      <c r="D23" s="10">
        <v>5</v>
      </c>
      <c r="E23" s="11">
        <v>6.0537953700000031</v>
      </c>
      <c r="F23" s="10">
        <v>666</v>
      </c>
      <c r="G23" s="10">
        <v>0.670679396706794</v>
      </c>
      <c r="H23" s="12">
        <v>4.0000000000000002E-4</v>
      </c>
      <c r="I23" s="10">
        <v>1</v>
      </c>
      <c r="J23" s="10">
        <v>1</v>
      </c>
      <c r="K23" s="14">
        <v>1967</v>
      </c>
      <c r="L23" s="14">
        <v>2144</v>
      </c>
      <c r="M23" s="14">
        <v>543</v>
      </c>
      <c r="N23" s="15">
        <v>131.70660000000001</v>
      </c>
      <c r="O23" s="11">
        <f t="shared" si="0"/>
        <v>14.934710940833639</v>
      </c>
      <c r="P23" s="10">
        <v>39</v>
      </c>
      <c r="Q23" s="16">
        <v>15818</v>
      </c>
      <c r="R23" s="11">
        <v>5288852.4599999981</v>
      </c>
      <c r="S23" s="17">
        <v>64.819427148194279</v>
      </c>
      <c r="T23" s="10">
        <v>1</v>
      </c>
      <c r="U23" s="12">
        <v>0.73467390479082828</v>
      </c>
      <c r="V23" s="14">
        <v>184</v>
      </c>
      <c r="W23" s="11">
        <v>3438.9690000000005</v>
      </c>
      <c r="X23" s="18">
        <v>111</v>
      </c>
    </row>
    <row r="24" spans="1:24" ht="15" customHeight="1" x14ac:dyDescent="0.3">
      <c r="A24" s="9">
        <v>40003</v>
      </c>
      <c r="B24" s="9" t="s">
        <v>33</v>
      </c>
      <c r="C24" s="10" t="s">
        <v>21</v>
      </c>
      <c r="D24" s="10">
        <v>14</v>
      </c>
      <c r="E24" s="11">
        <v>73.715486030000008</v>
      </c>
      <c r="F24" s="10">
        <v>687</v>
      </c>
      <c r="G24" s="10">
        <v>0.81819542960846237</v>
      </c>
      <c r="H24" s="12">
        <v>0</v>
      </c>
      <c r="I24" s="10">
        <v>0</v>
      </c>
      <c r="J24" s="13">
        <v>0</v>
      </c>
      <c r="K24" s="14">
        <v>11026</v>
      </c>
      <c r="L24" s="14">
        <v>10798</v>
      </c>
      <c r="M24" s="14">
        <v>1887</v>
      </c>
      <c r="N24" s="15">
        <v>57.254199999999997</v>
      </c>
      <c r="O24" s="11">
        <f t="shared" si="0"/>
        <v>192.57975834087281</v>
      </c>
      <c r="P24" s="10">
        <v>6</v>
      </c>
      <c r="Q24" s="16">
        <v>15753</v>
      </c>
      <c r="R24" s="11">
        <v>9230450.6999999993</v>
      </c>
      <c r="S24" s="17">
        <v>72.162193563378636</v>
      </c>
      <c r="T24" s="10">
        <v>0</v>
      </c>
      <c r="U24" s="12">
        <v>0.12004017467248908</v>
      </c>
      <c r="V24" s="14">
        <v>802</v>
      </c>
      <c r="W24" s="11">
        <v>3909.5988999999977</v>
      </c>
      <c r="X24" s="18">
        <v>439</v>
      </c>
    </row>
    <row r="25" spans="1:24" ht="15" customHeight="1" x14ac:dyDescent="0.3">
      <c r="A25" s="9">
        <v>33003</v>
      </c>
      <c r="B25" s="9" t="s">
        <v>34</v>
      </c>
      <c r="C25" s="10" t="s">
        <v>3</v>
      </c>
      <c r="D25" s="10">
        <v>2</v>
      </c>
      <c r="E25" s="11">
        <v>28.056618788000002</v>
      </c>
      <c r="F25" s="10">
        <v>683</v>
      </c>
      <c r="G25" s="10">
        <v>0.71194380473021512</v>
      </c>
      <c r="H25" s="12">
        <v>0</v>
      </c>
      <c r="I25" s="10">
        <v>0</v>
      </c>
      <c r="J25" s="13">
        <v>0</v>
      </c>
      <c r="K25" s="14">
        <v>916</v>
      </c>
      <c r="L25" s="25">
        <v>976</v>
      </c>
      <c r="M25" s="14">
        <v>179</v>
      </c>
      <c r="N25" s="15">
        <v>23.947500000000002</v>
      </c>
      <c r="O25" s="11">
        <f t="shared" si="0"/>
        <v>38.250339283850089</v>
      </c>
      <c r="P25" s="10">
        <v>88</v>
      </c>
      <c r="Q25" s="16">
        <v>14217</v>
      </c>
      <c r="R25" s="11">
        <v>980344.22999999975</v>
      </c>
      <c r="S25" s="17">
        <v>72.471910112359595</v>
      </c>
      <c r="T25" s="10">
        <v>1</v>
      </c>
      <c r="U25" s="12">
        <v>1.7348643006263046E-2</v>
      </c>
      <c r="V25" s="14">
        <v>43</v>
      </c>
      <c r="W25" s="11">
        <v>2213.6177999999991</v>
      </c>
      <c r="X25" s="18">
        <v>80</v>
      </c>
    </row>
    <row r="26" spans="1:24" ht="15" customHeight="1" x14ac:dyDescent="0.3">
      <c r="A26" s="9">
        <v>33004</v>
      </c>
      <c r="B26" s="9" t="s">
        <v>35</v>
      </c>
      <c r="C26" s="10" t="s">
        <v>3</v>
      </c>
      <c r="D26" s="10">
        <v>9</v>
      </c>
      <c r="E26" s="11">
        <v>-37.114706071000001</v>
      </c>
      <c r="F26" s="10">
        <v>661</v>
      </c>
      <c r="G26" s="10">
        <v>0.52314785574433142</v>
      </c>
      <c r="H26" s="12">
        <v>0</v>
      </c>
      <c r="I26" s="10">
        <v>0</v>
      </c>
      <c r="J26" s="13">
        <v>0</v>
      </c>
      <c r="K26" s="14">
        <v>2591</v>
      </c>
      <c r="L26" s="14">
        <v>2999</v>
      </c>
      <c r="M26" s="14">
        <v>676</v>
      </c>
      <c r="N26" s="15">
        <v>122.3724</v>
      </c>
      <c r="O26" s="11">
        <f t="shared" si="0"/>
        <v>21.173074974422338</v>
      </c>
      <c r="P26" s="10">
        <v>34</v>
      </c>
      <c r="Q26" s="16">
        <v>14902</v>
      </c>
      <c r="R26" s="11">
        <v>3375356.33</v>
      </c>
      <c r="S26" s="17">
        <v>69.529837251356241</v>
      </c>
      <c r="T26" s="10">
        <v>1</v>
      </c>
      <c r="U26" s="12">
        <v>0.6007469150935687</v>
      </c>
      <c r="V26" s="14">
        <v>236</v>
      </c>
      <c r="W26" s="11">
        <v>4863.1223999999957</v>
      </c>
      <c r="X26" s="18">
        <v>276</v>
      </c>
    </row>
    <row r="27" spans="1:24" ht="15" customHeight="1" x14ac:dyDescent="0.3">
      <c r="A27" s="9">
        <v>35004</v>
      </c>
      <c r="B27" s="9" t="s">
        <v>36</v>
      </c>
      <c r="C27" s="10" t="s">
        <v>7</v>
      </c>
      <c r="D27" s="10">
        <v>1</v>
      </c>
      <c r="E27" s="11">
        <v>68.065489296999999</v>
      </c>
      <c r="F27" s="10">
        <v>674</v>
      </c>
      <c r="G27" s="10">
        <v>0.85574456595981863</v>
      </c>
      <c r="H27" s="12">
        <v>0</v>
      </c>
      <c r="I27" s="10">
        <v>0</v>
      </c>
      <c r="J27" s="13">
        <v>0</v>
      </c>
      <c r="K27" s="14">
        <v>10140</v>
      </c>
      <c r="L27" s="14">
        <v>9965</v>
      </c>
      <c r="M27" s="14">
        <v>1625</v>
      </c>
      <c r="N27" s="15">
        <v>28.162600000000001</v>
      </c>
      <c r="O27" s="11">
        <f t="shared" si="0"/>
        <v>360.05198383671961</v>
      </c>
      <c r="P27" s="10">
        <v>0</v>
      </c>
      <c r="Q27" s="16">
        <v>15776</v>
      </c>
      <c r="R27" s="11">
        <v>9077157.570000004</v>
      </c>
      <c r="S27" s="17">
        <v>69.128205128205138</v>
      </c>
      <c r="T27" s="10">
        <v>0</v>
      </c>
      <c r="U27" s="12">
        <v>1.2137784090909091E-2</v>
      </c>
      <c r="V27" s="14">
        <v>824</v>
      </c>
      <c r="W27" s="11">
        <v>1928.4484000000002</v>
      </c>
      <c r="X27" s="18">
        <v>169</v>
      </c>
    </row>
    <row r="28" spans="1:24" ht="15" customHeight="1" x14ac:dyDescent="0.3">
      <c r="A28" s="9">
        <v>33005</v>
      </c>
      <c r="B28" s="9" t="s">
        <v>37</v>
      </c>
      <c r="C28" s="10" t="s">
        <v>3</v>
      </c>
      <c r="D28" s="10">
        <v>7</v>
      </c>
      <c r="E28" s="11">
        <v>-25.159058039999998</v>
      </c>
      <c r="F28" s="10">
        <v>630</v>
      </c>
      <c r="G28" s="10">
        <v>0.57211405869805798</v>
      </c>
      <c r="H28" s="12">
        <v>0</v>
      </c>
      <c r="I28" s="10">
        <v>0</v>
      </c>
      <c r="J28" s="13">
        <v>0</v>
      </c>
      <c r="K28" s="14">
        <v>3408</v>
      </c>
      <c r="L28" s="14">
        <v>3711</v>
      </c>
      <c r="M28" s="14">
        <v>985</v>
      </c>
      <c r="N28" s="15">
        <v>106.5279</v>
      </c>
      <c r="O28" s="11">
        <f t="shared" si="0"/>
        <v>31.991619096968961</v>
      </c>
      <c r="P28" s="10">
        <v>32</v>
      </c>
      <c r="Q28" s="16">
        <v>16243</v>
      </c>
      <c r="R28" s="11">
        <v>4338681.5100000054</v>
      </c>
      <c r="S28" s="17">
        <v>71.506352087114337</v>
      </c>
      <c r="T28" s="10">
        <v>1</v>
      </c>
      <c r="U28" s="12">
        <v>0.6435764573359618</v>
      </c>
      <c r="V28" s="14">
        <v>352</v>
      </c>
      <c r="W28" s="11">
        <v>3576.8558000000003</v>
      </c>
      <c r="X28" s="18">
        <v>257</v>
      </c>
    </row>
    <row r="29" spans="1:24" ht="15" customHeight="1" x14ac:dyDescent="0.3">
      <c r="A29" s="9">
        <v>37006</v>
      </c>
      <c r="B29" s="9" t="s">
        <v>13</v>
      </c>
      <c r="C29" s="10" t="s">
        <v>13</v>
      </c>
      <c r="D29" s="10">
        <v>7</v>
      </c>
      <c r="E29" s="11">
        <v>1676.903637527</v>
      </c>
      <c r="F29" s="10">
        <v>519</v>
      </c>
      <c r="G29" s="10">
        <v>0.63219277730437962</v>
      </c>
      <c r="H29" s="12">
        <v>0</v>
      </c>
      <c r="I29" s="10">
        <v>10</v>
      </c>
      <c r="J29" s="10">
        <v>13</v>
      </c>
      <c r="K29" s="14">
        <v>387971</v>
      </c>
      <c r="L29" s="14">
        <v>371337</v>
      </c>
      <c r="M29" s="14">
        <v>74153</v>
      </c>
      <c r="N29" s="15">
        <v>140.8588</v>
      </c>
      <c r="O29" s="11">
        <f t="shared" si="0"/>
        <v>2754.3256083396991</v>
      </c>
      <c r="P29" s="10">
        <v>1</v>
      </c>
      <c r="Q29" s="16">
        <v>20785</v>
      </c>
      <c r="R29" s="11">
        <v>681474036.57000005</v>
      </c>
      <c r="S29" s="17">
        <v>73.337694012532324</v>
      </c>
      <c r="T29" s="10">
        <v>0</v>
      </c>
      <c r="U29" s="12">
        <v>0.15285886696010223</v>
      </c>
      <c r="V29" s="14">
        <v>44668</v>
      </c>
      <c r="W29" s="11">
        <v>3232.234899999999</v>
      </c>
      <c r="X29" s="18">
        <v>266</v>
      </c>
    </row>
    <row r="30" spans="1:24" ht="15" customHeight="1" x14ac:dyDescent="0.3">
      <c r="A30" s="9">
        <v>36002</v>
      </c>
      <c r="B30" s="9" t="s">
        <v>38</v>
      </c>
      <c r="C30" s="10" t="s">
        <v>27</v>
      </c>
      <c r="D30" s="10">
        <v>4</v>
      </c>
      <c r="E30" s="11">
        <v>60.627482577000002</v>
      </c>
      <c r="F30" s="10">
        <v>645</v>
      </c>
      <c r="G30" s="10">
        <v>0.92710386388838129</v>
      </c>
      <c r="H30" s="12">
        <v>0</v>
      </c>
      <c r="I30" s="10">
        <v>0</v>
      </c>
      <c r="J30" s="13">
        <v>0</v>
      </c>
      <c r="K30" s="14">
        <v>10167</v>
      </c>
      <c r="L30" s="14">
        <v>9761</v>
      </c>
      <c r="M30" s="14">
        <v>1357</v>
      </c>
      <c r="N30" s="15">
        <v>38.874099999999999</v>
      </c>
      <c r="O30" s="11">
        <f t="shared" si="0"/>
        <v>261.53660149045254</v>
      </c>
      <c r="P30" s="10">
        <v>26</v>
      </c>
      <c r="Q30" s="16">
        <v>14945</v>
      </c>
      <c r="R30" s="11">
        <v>8360589.6100000022</v>
      </c>
      <c r="S30" s="17">
        <v>71.964238057112368</v>
      </c>
      <c r="T30" s="10">
        <v>0</v>
      </c>
      <c r="U30" s="12">
        <v>2.7203498842294827E-2</v>
      </c>
      <c r="V30" s="14">
        <v>831</v>
      </c>
      <c r="W30" s="11">
        <v>3168.2764999999986</v>
      </c>
      <c r="X30" s="18">
        <v>147</v>
      </c>
    </row>
    <row r="31" spans="1:24" ht="15" customHeight="1" x14ac:dyDescent="0.3">
      <c r="A31" s="9">
        <v>38003</v>
      </c>
      <c r="B31" s="9" t="s">
        <v>39</v>
      </c>
      <c r="C31" s="10" t="s">
        <v>17</v>
      </c>
      <c r="D31" s="10">
        <v>3</v>
      </c>
      <c r="E31" s="11">
        <v>82.282130940000002</v>
      </c>
      <c r="F31" s="10">
        <v>694</v>
      </c>
      <c r="G31" s="10">
        <v>0.76756232862424678</v>
      </c>
      <c r="H31" s="12">
        <v>0</v>
      </c>
      <c r="I31" s="10">
        <v>0</v>
      </c>
      <c r="J31" s="13">
        <v>0</v>
      </c>
      <c r="K31" s="14">
        <v>13738</v>
      </c>
      <c r="L31" s="14">
        <v>15116</v>
      </c>
      <c r="M31" s="14">
        <v>3046</v>
      </c>
      <c r="N31" s="15">
        <v>174.7645</v>
      </c>
      <c r="O31" s="11">
        <f t="shared" si="0"/>
        <v>78.608641915263107</v>
      </c>
      <c r="P31" s="10">
        <v>9</v>
      </c>
      <c r="Q31" s="16">
        <v>15422</v>
      </c>
      <c r="R31" s="11">
        <v>15926498.080000002</v>
      </c>
      <c r="S31" s="17">
        <v>69.916934113649233</v>
      </c>
      <c r="T31" s="10">
        <v>0</v>
      </c>
      <c r="U31" s="12">
        <v>2.4459830624856946E-2</v>
      </c>
      <c r="V31" s="14">
        <v>886</v>
      </c>
      <c r="W31" s="11">
        <v>14122.426000000007</v>
      </c>
      <c r="X31" s="18">
        <v>587</v>
      </c>
    </row>
    <row r="32" spans="1:24" ht="15" customHeight="1" x14ac:dyDescent="0.3">
      <c r="A32" s="9">
        <v>34005</v>
      </c>
      <c r="B32" s="9" t="s">
        <v>40</v>
      </c>
      <c r="C32" s="10" t="s">
        <v>5</v>
      </c>
      <c r="D32" s="10">
        <v>0</v>
      </c>
      <c r="E32" s="11">
        <v>-7.1134086409999995</v>
      </c>
      <c r="F32" s="10">
        <v>687</v>
      </c>
      <c r="G32" s="10">
        <v>0.37661497879197664</v>
      </c>
      <c r="H32" s="12">
        <v>0</v>
      </c>
      <c r="I32" s="10">
        <v>0</v>
      </c>
      <c r="J32" s="13">
        <v>0</v>
      </c>
      <c r="K32" s="14">
        <v>652</v>
      </c>
      <c r="L32" s="14">
        <v>799</v>
      </c>
      <c r="M32" s="14">
        <v>264</v>
      </c>
      <c r="N32" s="15">
        <v>43.005000000000003</v>
      </c>
      <c r="O32" s="11">
        <f t="shared" si="0"/>
        <v>15.161027787466573</v>
      </c>
      <c r="P32" s="10">
        <v>100</v>
      </c>
      <c r="Q32" s="16">
        <v>14102</v>
      </c>
      <c r="R32" s="11">
        <v>1434163.1099999996</v>
      </c>
      <c r="S32" s="17">
        <v>64.189189189189193</v>
      </c>
      <c r="T32" s="10">
        <v>1</v>
      </c>
      <c r="U32" s="12">
        <v>0.69728435247616838</v>
      </c>
      <c r="V32" s="14">
        <v>43</v>
      </c>
      <c r="W32" s="11">
        <v>1068.0933999999997</v>
      </c>
      <c r="X32" s="18">
        <v>60</v>
      </c>
    </row>
    <row r="33" spans="1:25" ht="15" customHeight="1" x14ac:dyDescent="0.3">
      <c r="A33" s="9">
        <v>35005</v>
      </c>
      <c r="B33" s="9" t="s">
        <v>41</v>
      </c>
      <c r="C33" s="10" t="s">
        <v>7</v>
      </c>
      <c r="D33" s="10">
        <v>0</v>
      </c>
      <c r="E33" s="11">
        <v>36.095602487999997</v>
      </c>
      <c r="F33" s="10">
        <v>621</v>
      </c>
      <c r="G33" s="10">
        <v>0.91975912310730878</v>
      </c>
      <c r="H33" s="12">
        <v>0</v>
      </c>
      <c r="I33" s="10">
        <v>0</v>
      </c>
      <c r="J33" s="13">
        <v>0</v>
      </c>
      <c r="K33" s="14">
        <v>5231</v>
      </c>
      <c r="L33" s="14">
        <v>5263</v>
      </c>
      <c r="M33" s="14">
        <v>866</v>
      </c>
      <c r="N33" s="15">
        <v>18.110099999999999</v>
      </c>
      <c r="O33" s="11">
        <f t="shared" si="0"/>
        <v>288.84434652486738</v>
      </c>
      <c r="P33" s="10">
        <v>0</v>
      </c>
      <c r="Q33" s="16">
        <v>15637</v>
      </c>
      <c r="R33" s="11">
        <v>5567054.0700000012</v>
      </c>
      <c r="S33" s="17">
        <v>67.606004740584666</v>
      </c>
      <c r="T33" s="10">
        <v>0</v>
      </c>
      <c r="U33" s="12">
        <v>7.3213694091662077E-2</v>
      </c>
      <c r="V33" s="14">
        <v>345</v>
      </c>
      <c r="W33" s="11">
        <v>1072.0604999999998</v>
      </c>
      <c r="X33" s="18">
        <v>91</v>
      </c>
    </row>
    <row r="34" spans="1:25" ht="15" customHeight="1" x14ac:dyDescent="0.3">
      <c r="A34" s="9">
        <v>40004</v>
      </c>
      <c r="B34" s="9" t="s">
        <v>42</v>
      </c>
      <c r="C34" s="10" t="s">
        <v>21</v>
      </c>
      <c r="D34" s="10">
        <v>1</v>
      </c>
      <c r="E34" s="11">
        <v>19.092507230999999</v>
      </c>
      <c r="F34" s="10">
        <v>680</v>
      </c>
      <c r="G34" s="10">
        <v>0.75799603426465378</v>
      </c>
      <c r="H34" s="12">
        <v>0</v>
      </c>
      <c r="I34" s="10">
        <v>0</v>
      </c>
      <c r="J34" s="13">
        <v>0</v>
      </c>
      <c r="K34" s="14">
        <v>2871</v>
      </c>
      <c r="L34" s="14">
        <v>2718</v>
      </c>
      <c r="M34" s="14">
        <v>390</v>
      </c>
      <c r="N34" s="15">
        <v>30.233000000000001</v>
      </c>
      <c r="O34" s="11">
        <f t="shared" si="0"/>
        <v>94.962458240994934</v>
      </c>
      <c r="P34" s="10">
        <v>19</v>
      </c>
      <c r="Q34" s="16">
        <v>11023</v>
      </c>
      <c r="R34" s="11">
        <v>2522737.6700000013</v>
      </c>
      <c r="S34" s="17">
        <v>63.737239236573458</v>
      </c>
      <c r="T34" s="10">
        <v>1</v>
      </c>
      <c r="U34" s="12">
        <v>0.33526298379093616</v>
      </c>
      <c r="V34" s="14">
        <v>154</v>
      </c>
      <c r="W34" s="11">
        <v>1653.6004999999998</v>
      </c>
      <c r="X34" s="18">
        <v>132</v>
      </c>
    </row>
    <row r="35" spans="1:25" ht="15" customHeight="1" x14ac:dyDescent="0.3">
      <c r="A35" s="9">
        <v>37007</v>
      </c>
      <c r="B35" s="9" t="s">
        <v>43</v>
      </c>
      <c r="C35" s="10" t="s">
        <v>13</v>
      </c>
      <c r="D35" s="10">
        <v>3</v>
      </c>
      <c r="E35" s="11">
        <v>33.190168663000001</v>
      </c>
      <c r="F35" s="10">
        <v>632</v>
      </c>
      <c r="G35" s="10">
        <v>0.50670978222934637</v>
      </c>
      <c r="H35" s="12">
        <v>0.2034</v>
      </c>
      <c r="I35" s="10">
        <v>0</v>
      </c>
      <c r="J35" s="13">
        <v>0</v>
      </c>
      <c r="K35" s="14">
        <v>3198</v>
      </c>
      <c r="L35" s="14">
        <v>3302</v>
      </c>
      <c r="M35" s="14">
        <v>554</v>
      </c>
      <c r="N35" s="15">
        <v>29.273299999999999</v>
      </c>
      <c r="O35" s="11">
        <f t="shared" si="0"/>
        <v>109.24630977716896</v>
      </c>
      <c r="P35" s="10">
        <v>15</v>
      </c>
      <c r="Q35" s="16">
        <v>14516</v>
      </c>
      <c r="R35" s="11">
        <v>3998420.5000000014</v>
      </c>
      <c r="S35" s="17">
        <v>70.892410341951631</v>
      </c>
      <c r="T35" s="10">
        <v>1</v>
      </c>
      <c r="U35" s="12">
        <v>0.3085104202254868</v>
      </c>
      <c r="V35" s="14">
        <v>217</v>
      </c>
      <c r="W35" s="11">
        <v>1944.0336000000007</v>
      </c>
      <c r="X35" s="18">
        <v>114</v>
      </c>
    </row>
    <row r="36" spans="1:25" ht="15" customHeight="1" x14ac:dyDescent="0.3">
      <c r="A36" s="9">
        <v>34006</v>
      </c>
      <c r="B36" s="9" t="s">
        <v>44</v>
      </c>
      <c r="C36" s="10" t="s">
        <v>5</v>
      </c>
      <c r="D36" s="10">
        <v>11</v>
      </c>
      <c r="E36" s="11">
        <v>-17.541896829999999</v>
      </c>
      <c r="F36" s="10">
        <v>636</v>
      </c>
      <c r="G36" s="10">
        <v>0.55825629488398931</v>
      </c>
      <c r="H36" s="12">
        <v>0</v>
      </c>
      <c r="I36" s="10">
        <v>4</v>
      </c>
      <c r="J36" s="10">
        <v>1</v>
      </c>
      <c r="K36" s="14">
        <v>6716</v>
      </c>
      <c r="L36" s="14">
        <v>7275</v>
      </c>
      <c r="M36" s="14">
        <v>1557</v>
      </c>
      <c r="N36" s="15">
        <v>151.49029999999999</v>
      </c>
      <c r="O36" s="11">
        <f t="shared" si="0"/>
        <v>44.332871477579758</v>
      </c>
      <c r="P36" s="10">
        <v>19</v>
      </c>
      <c r="Q36" s="16">
        <v>15147</v>
      </c>
      <c r="R36" s="11">
        <v>7194735.5399999991</v>
      </c>
      <c r="S36" s="17">
        <v>69.704341317365277</v>
      </c>
      <c r="T36" s="10">
        <v>0</v>
      </c>
      <c r="U36" s="12">
        <v>0.74526371377648692</v>
      </c>
      <c r="V36" s="14">
        <v>608</v>
      </c>
      <c r="W36" s="11">
        <v>5538.3729000000003</v>
      </c>
      <c r="X36" s="18">
        <v>213</v>
      </c>
    </row>
    <row r="37" spans="1:25" ht="15" customHeight="1" x14ac:dyDescent="0.3">
      <c r="A37" s="9">
        <v>33006</v>
      </c>
      <c r="B37" s="9" t="s">
        <v>45</v>
      </c>
      <c r="C37" s="10" t="s">
        <v>3</v>
      </c>
      <c r="D37" s="10">
        <v>3</v>
      </c>
      <c r="E37" s="11">
        <v>111.982394128</v>
      </c>
      <c r="F37" s="10">
        <v>589</v>
      </c>
      <c r="G37" s="10">
        <v>0.67031150924814165</v>
      </c>
      <c r="H37" s="12">
        <v>0</v>
      </c>
      <c r="I37" s="10">
        <v>0</v>
      </c>
      <c r="J37" s="13">
        <v>0</v>
      </c>
      <c r="K37" s="14">
        <v>8105</v>
      </c>
      <c r="L37" s="14">
        <v>7631</v>
      </c>
      <c r="M37" s="14">
        <v>1335</v>
      </c>
      <c r="N37" s="15">
        <v>51.217500000000001</v>
      </c>
      <c r="O37" s="11">
        <f t="shared" si="0"/>
        <v>158.24669302484503</v>
      </c>
      <c r="P37" s="10">
        <v>15</v>
      </c>
      <c r="Q37" s="16">
        <v>15336</v>
      </c>
      <c r="R37" s="11">
        <v>8686849.4600000046</v>
      </c>
      <c r="S37" s="17">
        <v>65.959359827369184</v>
      </c>
      <c r="T37" s="10">
        <v>0</v>
      </c>
      <c r="U37" s="12">
        <v>5.9878953533775862E-2</v>
      </c>
      <c r="V37" s="14">
        <v>511</v>
      </c>
      <c r="W37" s="11">
        <v>4331.4757</v>
      </c>
      <c r="X37" s="18">
        <v>159</v>
      </c>
    </row>
    <row r="38" spans="1:25" ht="15" customHeight="1" x14ac:dyDescent="0.3">
      <c r="A38" s="9">
        <v>35006</v>
      </c>
      <c r="B38" s="9" t="s">
        <v>46</v>
      </c>
      <c r="C38" s="10" t="s">
        <v>7</v>
      </c>
      <c r="D38" s="10">
        <v>0</v>
      </c>
      <c r="E38" s="11">
        <v>30.656623201999999</v>
      </c>
      <c r="F38" s="10">
        <v>768</v>
      </c>
      <c r="G38" s="10">
        <v>0.92551499544878757</v>
      </c>
      <c r="H38" s="12">
        <v>0</v>
      </c>
      <c r="I38" s="10">
        <v>0</v>
      </c>
      <c r="J38" s="13">
        <v>0</v>
      </c>
      <c r="K38" s="14">
        <v>5630</v>
      </c>
      <c r="L38" s="14">
        <v>5546</v>
      </c>
      <c r="M38" s="14">
        <v>872</v>
      </c>
      <c r="N38" s="15">
        <v>24.043199999999999</v>
      </c>
      <c r="O38" s="11">
        <f t="shared" si="0"/>
        <v>234.16184201770147</v>
      </c>
      <c r="P38" s="10">
        <v>2</v>
      </c>
      <c r="Q38" s="16">
        <v>15396</v>
      </c>
      <c r="R38" s="11">
        <v>5316588.7299999977</v>
      </c>
      <c r="S38" s="17">
        <v>68.009828009828013</v>
      </c>
      <c r="T38" s="10">
        <v>0</v>
      </c>
      <c r="U38" s="12">
        <v>0.13581114808652248</v>
      </c>
      <c r="V38" s="14">
        <v>467</v>
      </c>
      <c r="W38" s="11">
        <v>1510.8656999999998</v>
      </c>
      <c r="X38" s="18">
        <v>86</v>
      </c>
    </row>
    <row r="39" spans="1:25" ht="15" customHeight="1" x14ac:dyDescent="0.3">
      <c r="A39" s="9">
        <v>39004</v>
      </c>
      <c r="B39" s="9" t="s">
        <v>47</v>
      </c>
      <c r="C39" s="10" t="s">
        <v>9</v>
      </c>
      <c r="D39" s="10">
        <v>31</v>
      </c>
      <c r="E39" s="11">
        <v>-19.706858739999998</v>
      </c>
      <c r="F39" s="10">
        <v>664</v>
      </c>
      <c r="G39" s="10">
        <v>0.52090412297207078</v>
      </c>
      <c r="H39" s="12">
        <v>3.4599999999999999E-2</v>
      </c>
      <c r="I39" s="10">
        <v>5</v>
      </c>
      <c r="J39" s="13">
        <v>0</v>
      </c>
      <c r="K39" s="14">
        <v>7186</v>
      </c>
      <c r="L39" s="14">
        <v>7664</v>
      </c>
      <c r="M39" s="14">
        <v>1621</v>
      </c>
      <c r="N39" s="15">
        <v>194.33189999999999</v>
      </c>
      <c r="O39" s="11">
        <f t="shared" si="0"/>
        <v>36.977974280084744</v>
      </c>
      <c r="P39" s="10">
        <v>42</v>
      </c>
      <c r="Q39" s="16">
        <v>14765</v>
      </c>
      <c r="R39" s="11">
        <v>5981069.6199999973</v>
      </c>
      <c r="S39" s="17">
        <v>71.1420024634876</v>
      </c>
      <c r="T39" s="10">
        <v>0</v>
      </c>
      <c r="U39" s="12">
        <v>0.41850769309936697</v>
      </c>
      <c r="V39" s="14">
        <v>449</v>
      </c>
      <c r="W39" s="11">
        <v>13702.359999999993</v>
      </c>
      <c r="X39" s="18">
        <v>698</v>
      </c>
    </row>
    <row r="40" spans="1:25" ht="15" customHeight="1" x14ac:dyDescent="0.3">
      <c r="A40" s="9">
        <v>37008</v>
      </c>
      <c r="B40" s="9" t="s">
        <v>48</v>
      </c>
      <c r="C40" s="10" t="s">
        <v>13</v>
      </c>
      <c r="D40" s="10">
        <v>12</v>
      </c>
      <c r="E40" s="11">
        <v>85.472820569999996</v>
      </c>
      <c r="F40" s="10">
        <v>641</v>
      </c>
      <c r="G40" s="10">
        <v>0.84850011823839078</v>
      </c>
      <c r="H40" s="12">
        <v>0</v>
      </c>
      <c r="I40" s="10">
        <v>0</v>
      </c>
      <c r="J40" s="13">
        <v>0</v>
      </c>
      <c r="K40" s="14">
        <v>18226</v>
      </c>
      <c r="L40" s="14">
        <v>18008</v>
      </c>
      <c r="M40" s="14">
        <v>3312</v>
      </c>
      <c r="N40" s="15">
        <v>120.18680000000001</v>
      </c>
      <c r="O40" s="11">
        <f t="shared" si="0"/>
        <v>151.64726908445851</v>
      </c>
      <c r="P40" s="10">
        <v>47</v>
      </c>
      <c r="Q40" s="16">
        <v>17690</v>
      </c>
      <c r="R40" s="11">
        <v>26871868.019999996</v>
      </c>
      <c r="S40" s="17">
        <v>74.884448552940341</v>
      </c>
      <c r="T40" s="10">
        <v>0</v>
      </c>
      <c r="U40" s="12">
        <v>1.8692070887761043E-2</v>
      </c>
      <c r="V40" s="14">
        <v>1415</v>
      </c>
      <c r="W40" s="11">
        <v>10167.860200000008</v>
      </c>
      <c r="X40" s="18">
        <v>486</v>
      </c>
    </row>
    <row r="41" spans="1:25" ht="15" customHeight="1" x14ac:dyDescent="0.3">
      <c r="A41" s="9">
        <v>34007</v>
      </c>
      <c r="B41" s="9" t="s">
        <v>49</v>
      </c>
      <c r="C41" s="10" t="s">
        <v>5</v>
      </c>
      <c r="D41" s="10">
        <v>3</v>
      </c>
      <c r="E41" s="11">
        <v>124.51426537999998</v>
      </c>
      <c r="F41" s="10">
        <v>625</v>
      </c>
      <c r="G41" s="10">
        <v>0.86284541279131977</v>
      </c>
      <c r="H41" s="12">
        <v>0</v>
      </c>
      <c r="I41" s="10">
        <v>2</v>
      </c>
      <c r="J41" s="13">
        <v>0</v>
      </c>
      <c r="K41" s="14">
        <v>6763</v>
      </c>
      <c r="L41" s="14">
        <v>7043</v>
      </c>
      <c r="M41" s="14">
        <v>1320</v>
      </c>
      <c r="N41" s="15">
        <v>76.592299999999994</v>
      </c>
      <c r="O41" s="11">
        <f t="shared" si="0"/>
        <v>88.298693210675225</v>
      </c>
      <c r="P41" s="10">
        <v>23</v>
      </c>
      <c r="Q41" s="16">
        <v>16526</v>
      </c>
      <c r="R41" s="11">
        <v>7852112.509999997</v>
      </c>
      <c r="S41" s="17">
        <v>70.356052899287889</v>
      </c>
      <c r="T41" s="10">
        <v>0</v>
      </c>
      <c r="U41" s="12">
        <v>1.3573573573573571E-2</v>
      </c>
      <c r="V41" s="14">
        <v>553</v>
      </c>
      <c r="W41" s="11">
        <v>4125.3721000000005</v>
      </c>
      <c r="X41" s="18">
        <v>242</v>
      </c>
    </row>
    <row r="42" spans="1:25" ht="15" customHeight="1" x14ac:dyDescent="0.3">
      <c r="A42" s="9">
        <v>35008</v>
      </c>
      <c r="B42" s="9" t="s">
        <v>50</v>
      </c>
      <c r="C42" s="10" t="s">
        <v>7</v>
      </c>
      <c r="D42" s="10">
        <v>2</v>
      </c>
      <c r="E42" s="11">
        <v>56.586278340000007</v>
      </c>
      <c r="F42" s="10">
        <v>620</v>
      </c>
      <c r="G42" s="10">
        <v>0.80591076205059931</v>
      </c>
      <c r="H42" s="12">
        <v>0</v>
      </c>
      <c r="I42" s="10">
        <v>0</v>
      </c>
      <c r="J42" s="13">
        <v>0</v>
      </c>
      <c r="K42" s="14">
        <v>10613</v>
      </c>
      <c r="L42" s="14">
        <v>10409</v>
      </c>
      <c r="M42" s="14">
        <v>1540</v>
      </c>
      <c r="N42" s="15">
        <v>43.596299999999999</v>
      </c>
      <c r="O42" s="11">
        <f t="shared" si="0"/>
        <v>243.43808992965</v>
      </c>
      <c r="P42" s="10">
        <v>0</v>
      </c>
      <c r="Q42" s="16">
        <v>14450</v>
      </c>
      <c r="R42" s="11">
        <v>7319011.709999999</v>
      </c>
      <c r="S42" s="17">
        <v>69.2228644829801</v>
      </c>
      <c r="T42" s="10">
        <v>0</v>
      </c>
      <c r="U42" s="12">
        <v>7.8096330275229352E-3</v>
      </c>
      <c r="V42" s="14">
        <v>766</v>
      </c>
      <c r="W42" s="11">
        <v>3146.4436000000014</v>
      </c>
      <c r="X42" s="18">
        <v>223</v>
      </c>
    </row>
    <row r="43" spans="1:25" ht="15" customHeight="1" x14ac:dyDescent="0.3">
      <c r="A43" s="9">
        <v>33007</v>
      </c>
      <c r="B43" s="9" t="s">
        <v>51</v>
      </c>
      <c r="C43" s="10" t="s">
        <v>3</v>
      </c>
      <c r="D43" s="10">
        <v>1</v>
      </c>
      <c r="E43" s="11">
        <v>106.7403176</v>
      </c>
      <c r="F43" s="10">
        <v>648</v>
      </c>
      <c r="G43" s="10">
        <v>0.68769391669460644</v>
      </c>
      <c r="H43" s="12">
        <v>0</v>
      </c>
      <c r="I43" s="10">
        <v>1</v>
      </c>
      <c r="J43" s="13">
        <v>0</v>
      </c>
      <c r="K43" s="14">
        <v>5978</v>
      </c>
      <c r="L43" s="14">
        <v>6052</v>
      </c>
      <c r="M43" s="14">
        <v>1001</v>
      </c>
      <c r="N43" s="15">
        <v>38.479799999999997</v>
      </c>
      <c r="O43" s="11">
        <f t="shared" si="0"/>
        <v>155.35423780788884</v>
      </c>
      <c r="P43" s="10">
        <v>7.0000000000000009</v>
      </c>
      <c r="Q43" s="16">
        <v>16051</v>
      </c>
      <c r="R43" s="11">
        <v>4641243.1300000018</v>
      </c>
      <c r="S43" s="17">
        <v>70.338208409506393</v>
      </c>
      <c r="T43" s="10">
        <v>0</v>
      </c>
      <c r="U43" s="12">
        <v>1.75493762993763E-2</v>
      </c>
      <c r="V43" s="14">
        <v>449</v>
      </c>
      <c r="W43" s="11">
        <v>3709.2012000000018</v>
      </c>
      <c r="X43" s="18">
        <v>105</v>
      </c>
    </row>
    <row r="44" spans="1:25" ht="15" customHeight="1" x14ac:dyDescent="0.3">
      <c r="A44" s="9">
        <v>37009</v>
      </c>
      <c r="B44" s="9" t="s">
        <v>52</v>
      </c>
      <c r="C44" s="10" t="s">
        <v>13</v>
      </c>
      <c r="D44" s="10">
        <v>2</v>
      </c>
      <c r="E44" s="11">
        <v>136.714949792</v>
      </c>
      <c r="F44" s="10">
        <v>682</v>
      </c>
      <c r="G44" s="10">
        <v>0.89128944492002782</v>
      </c>
      <c r="H44" s="12">
        <v>0</v>
      </c>
      <c r="I44" s="10">
        <v>1</v>
      </c>
      <c r="J44" s="10">
        <v>4</v>
      </c>
      <c r="K44" s="14">
        <v>13502</v>
      </c>
      <c r="L44" s="14">
        <v>13148</v>
      </c>
      <c r="M44" s="14">
        <v>2415</v>
      </c>
      <c r="N44" s="15">
        <v>40.752299999999998</v>
      </c>
      <c r="O44" s="11">
        <f t="shared" si="0"/>
        <v>331.31872311501439</v>
      </c>
      <c r="P44" s="10">
        <v>6</v>
      </c>
      <c r="Q44" s="16">
        <v>18548</v>
      </c>
      <c r="R44" s="11">
        <v>17540198.999999993</v>
      </c>
      <c r="S44" s="17">
        <v>76.867678125600165</v>
      </c>
      <c r="T44" s="10">
        <v>0</v>
      </c>
      <c r="U44" s="12">
        <v>4.0795092024539882E-2</v>
      </c>
      <c r="V44" s="14">
        <v>1492</v>
      </c>
      <c r="W44" s="11">
        <v>2862.795900000001</v>
      </c>
      <c r="X44" s="18">
        <v>159</v>
      </c>
    </row>
    <row r="45" spans="1:25" ht="15" customHeight="1" x14ac:dyDescent="0.3">
      <c r="A45" s="9">
        <v>33008</v>
      </c>
      <c r="B45" s="9" t="s">
        <v>53</v>
      </c>
      <c r="C45" s="10" t="s">
        <v>3</v>
      </c>
      <c r="D45" s="10">
        <v>3</v>
      </c>
      <c r="E45" s="11">
        <v>41.413345195999995</v>
      </c>
      <c r="F45" s="10">
        <v>668</v>
      </c>
      <c r="G45" s="10">
        <v>0.64026668334088888</v>
      </c>
      <c r="H45" s="12">
        <v>0</v>
      </c>
      <c r="I45" s="10">
        <v>0</v>
      </c>
      <c r="J45" s="13">
        <v>0</v>
      </c>
      <c r="K45" s="14">
        <v>2407</v>
      </c>
      <c r="L45" s="14">
        <v>2448</v>
      </c>
      <c r="M45" s="14">
        <v>419</v>
      </c>
      <c r="N45" s="15">
        <v>36.941699999999997</v>
      </c>
      <c r="O45" s="11">
        <f t="shared" si="0"/>
        <v>65.156719912727354</v>
      </c>
      <c r="P45" s="10">
        <v>65</v>
      </c>
      <c r="Q45" s="16">
        <v>16250</v>
      </c>
      <c r="R45" s="11">
        <v>1838504.9399999992</v>
      </c>
      <c r="S45" s="17">
        <v>69.78226234731811</v>
      </c>
      <c r="T45" s="10">
        <v>1</v>
      </c>
      <c r="U45" s="12">
        <v>3.5644288034650785E-2</v>
      </c>
      <c r="V45" s="14">
        <v>205</v>
      </c>
      <c r="W45" s="11">
        <v>2957.6855</v>
      </c>
      <c r="X45" s="18">
        <v>76</v>
      </c>
    </row>
    <row r="46" spans="1:25" ht="15" customHeight="1" x14ac:dyDescent="0.3">
      <c r="A46" s="9">
        <v>34008</v>
      </c>
      <c r="B46" s="9" t="s">
        <v>54</v>
      </c>
      <c r="C46" s="10" t="s">
        <v>5</v>
      </c>
      <c r="D46" s="10">
        <v>2</v>
      </c>
      <c r="E46" s="11">
        <v>-0.41389299000000079</v>
      </c>
      <c r="F46" s="10">
        <v>617</v>
      </c>
      <c r="G46" s="10">
        <v>0.67094249366479353</v>
      </c>
      <c r="H46" s="12">
        <v>0</v>
      </c>
      <c r="I46" s="10">
        <v>0</v>
      </c>
      <c r="J46" s="13">
        <v>0</v>
      </c>
      <c r="K46" s="14">
        <v>2065</v>
      </c>
      <c r="L46" s="14">
        <v>2033</v>
      </c>
      <c r="M46" s="14">
        <v>403</v>
      </c>
      <c r="N46" s="15">
        <v>57.3551</v>
      </c>
      <c r="O46" s="11">
        <f t="shared" si="0"/>
        <v>36.003772986186057</v>
      </c>
      <c r="P46" s="10">
        <v>100</v>
      </c>
      <c r="Q46" s="16">
        <v>15497</v>
      </c>
      <c r="R46" s="11">
        <v>2300044.4000000008</v>
      </c>
      <c r="S46" s="17">
        <v>64.668547249647389</v>
      </c>
      <c r="T46" s="10">
        <v>1</v>
      </c>
      <c r="U46" s="12">
        <v>0.68123605299860535</v>
      </c>
      <c r="V46" s="14">
        <v>152</v>
      </c>
      <c r="W46" s="11">
        <v>2269.5612999999989</v>
      </c>
      <c r="X46" s="18">
        <v>80</v>
      </c>
    </row>
    <row r="47" spans="1:25" ht="15" customHeight="1" x14ac:dyDescent="0.3">
      <c r="A47" s="9">
        <v>35009</v>
      </c>
      <c r="B47" s="9" t="s">
        <v>55</v>
      </c>
      <c r="C47" s="10" t="s">
        <v>7</v>
      </c>
      <c r="D47" s="10">
        <v>0</v>
      </c>
      <c r="E47" s="11">
        <v>34.237760229999999</v>
      </c>
      <c r="F47" s="10">
        <v>600</v>
      </c>
      <c r="G47" s="10">
        <v>0.82756861723775099</v>
      </c>
      <c r="H47" s="12">
        <v>0</v>
      </c>
      <c r="I47" s="10">
        <v>0</v>
      </c>
      <c r="J47" s="13">
        <v>0</v>
      </c>
      <c r="K47" s="14">
        <v>5476</v>
      </c>
      <c r="L47" s="14">
        <v>5493</v>
      </c>
      <c r="M47" s="14">
        <v>963</v>
      </c>
      <c r="N47" s="15">
        <v>24.3933</v>
      </c>
      <c r="O47" s="11">
        <f t="shared" si="0"/>
        <v>224.48787166967978</v>
      </c>
      <c r="P47" s="10">
        <v>5</v>
      </c>
      <c r="Q47" s="16">
        <v>15502</v>
      </c>
      <c r="R47" s="11">
        <v>4452012.0900000008</v>
      </c>
      <c r="S47" s="17">
        <v>71.634980988593156</v>
      </c>
      <c r="T47" s="10">
        <v>0</v>
      </c>
      <c r="U47" s="12">
        <v>9.4300943009430101E-3</v>
      </c>
      <c r="V47" s="14">
        <v>427</v>
      </c>
      <c r="W47" s="11">
        <v>2060.3134</v>
      </c>
      <c r="X47" s="18">
        <v>126</v>
      </c>
      <c r="Y47" s="18"/>
    </row>
    <row r="48" spans="1:25" ht="15" customHeight="1" x14ac:dyDescent="0.3">
      <c r="A48" s="9">
        <v>35010</v>
      </c>
      <c r="B48" s="9" t="s">
        <v>56</v>
      </c>
      <c r="C48" s="10" t="s">
        <v>7</v>
      </c>
      <c r="D48" s="10">
        <v>0</v>
      </c>
      <c r="E48" s="11">
        <v>91.159819339999999</v>
      </c>
      <c r="F48" s="10">
        <v>634</v>
      </c>
      <c r="G48" s="10">
        <v>0.75744417593040114</v>
      </c>
      <c r="H48" s="12">
        <v>1.8100000000000002E-2</v>
      </c>
      <c r="I48" s="10">
        <v>0</v>
      </c>
      <c r="J48" s="13">
        <v>0</v>
      </c>
      <c r="K48" s="14">
        <v>5300</v>
      </c>
      <c r="L48" s="14">
        <v>5114</v>
      </c>
      <c r="M48" s="14">
        <v>791</v>
      </c>
      <c r="N48" s="15">
        <v>22.623699999999999</v>
      </c>
      <c r="O48" s="11">
        <f t="shared" si="0"/>
        <v>234.26760432643644</v>
      </c>
      <c r="P48" s="10">
        <v>0</v>
      </c>
      <c r="Q48" s="16">
        <v>15122</v>
      </c>
      <c r="R48" s="11">
        <v>5429243.6899999958</v>
      </c>
      <c r="S48" s="17">
        <v>69.606003752345217</v>
      </c>
      <c r="T48" s="10">
        <v>0</v>
      </c>
      <c r="U48" s="12">
        <v>1.838638373121132E-2</v>
      </c>
      <c r="V48" s="14">
        <v>288</v>
      </c>
      <c r="W48" s="11">
        <v>1562.0574000000001</v>
      </c>
      <c r="X48" s="18">
        <v>58</v>
      </c>
      <c r="Y48" s="18"/>
    </row>
    <row r="49" spans="1:25" ht="15" customHeight="1" x14ac:dyDescent="0.3">
      <c r="A49" s="9">
        <v>36003</v>
      </c>
      <c r="B49" s="9" t="s">
        <v>57</v>
      </c>
      <c r="C49" s="10" t="s">
        <v>27</v>
      </c>
      <c r="D49" s="10">
        <v>0</v>
      </c>
      <c r="E49" s="11">
        <v>146.63815218099998</v>
      </c>
      <c r="F49" s="10">
        <v>647</v>
      </c>
      <c r="G49" s="10">
        <v>0.75979453442575873</v>
      </c>
      <c r="H49" s="12">
        <v>1.8799999999999997E-2</v>
      </c>
      <c r="I49" s="10">
        <v>0</v>
      </c>
      <c r="J49" s="13">
        <v>0</v>
      </c>
      <c r="K49" s="14">
        <v>8504</v>
      </c>
      <c r="L49" s="14">
        <v>8514</v>
      </c>
      <c r="M49" s="14">
        <v>1408</v>
      </c>
      <c r="N49" s="15">
        <v>35.689599999999999</v>
      </c>
      <c r="O49" s="11">
        <f t="shared" si="0"/>
        <v>238.27669685286472</v>
      </c>
      <c r="P49" s="10">
        <v>3</v>
      </c>
      <c r="Q49" s="16">
        <v>16243</v>
      </c>
      <c r="R49" s="11">
        <v>9959257.8799999934</v>
      </c>
      <c r="S49" s="17">
        <v>75.287892934951756</v>
      </c>
      <c r="T49" s="10">
        <v>0</v>
      </c>
      <c r="U49" s="12">
        <v>1.8338470159708607E-2</v>
      </c>
      <c r="V49" s="14">
        <v>883</v>
      </c>
      <c r="W49" s="11">
        <v>2384.4519999999998</v>
      </c>
      <c r="X49" s="18">
        <v>193</v>
      </c>
      <c r="Y49" s="18"/>
    </row>
    <row r="50" spans="1:25" ht="15" customHeight="1" x14ac:dyDescent="0.3">
      <c r="A50" s="9">
        <v>36004</v>
      </c>
      <c r="B50" s="9" t="s">
        <v>58</v>
      </c>
      <c r="C50" s="10" t="s">
        <v>27</v>
      </c>
      <c r="D50" s="10">
        <v>2</v>
      </c>
      <c r="E50" s="11">
        <v>63.860097105000001</v>
      </c>
      <c r="F50" s="10">
        <v>634</v>
      </c>
      <c r="G50" s="10">
        <v>0.9305713035221127</v>
      </c>
      <c r="H50" s="12">
        <v>0</v>
      </c>
      <c r="I50" s="10">
        <v>1</v>
      </c>
      <c r="J50" s="13">
        <v>0</v>
      </c>
      <c r="K50" s="14">
        <v>3296</v>
      </c>
      <c r="L50" s="14">
        <v>3171</v>
      </c>
      <c r="M50" s="14">
        <v>550</v>
      </c>
      <c r="N50" s="15">
        <v>22.7075</v>
      </c>
      <c r="O50" s="11">
        <f t="shared" si="0"/>
        <v>145.15028074424751</v>
      </c>
      <c r="P50" s="10">
        <v>11</v>
      </c>
      <c r="Q50" s="16">
        <v>15249</v>
      </c>
      <c r="R50" s="11">
        <v>3633896.4600000014</v>
      </c>
      <c r="S50" s="17">
        <v>72.175824175824175</v>
      </c>
      <c r="T50" s="10">
        <v>1</v>
      </c>
      <c r="U50" s="12">
        <v>3.9317481285777188E-2</v>
      </c>
      <c r="V50" s="14">
        <v>222</v>
      </c>
      <c r="W50" s="11">
        <v>1913.8773000000006</v>
      </c>
      <c r="X50" s="18">
        <v>112</v>
      </c>
    </row>
    <row r="51" spans="1:25" ht="15" customHeight="1" x14ac:dyDescent="0.3">
      <c r="A51" s="9">
        <v>37010</v>
      </c>
      <c r="B51" s="9" t="s">
        <v>59</v>
      </c>
      <c r="C51" s="10" t="s">
        <v>13</v>
      </c>
      <c r="D51" s="10">
        <v>6</v>
      </c>
      <c r="E51" s="11">
        <v>-52.542794832999995</v>
      </c>
      <c r="F51" s="10">
        <v>759</v>
      </c>
      <c r="G51" s="10">
        <v>0.35740370657275466</v>
      </c>
      <c r="H51" s="12">
        <v>0.27029999999999998</v>
      </c>
      <c r="I51" s="10">
        <v>0</v>
      </c>
      <c r="J51" s="13">
        <v>0</v>
      </c>
      <c r="K51" s="14">
        <v>1818</v>
      </c>
      <c r="L51" s="14">
        <v>2000</v>
      </c>
      <c r="M51" s="14">
        <v>454</v>
      </c>
      <c r="N51" s="15">
        <v>96.602699999999999</v>
      </c>
      <c r="O51" s="11">
        <f t="shared" si="0"/>
        <v>18.819349769726934</v>
      </c>
      <c r="P51" s="10">
        <v>39</v>
      </c>
      <c r="Q51" s="16">
        <v>15849</v>
      </c>
      <c r="R51" s="11">
        <v>3779523.5099999988</v>
      </c>
      <c r="S51" s="17">
        <v>69.677826910928616</v>
      </c>
      <c r="T51" s="10">
        <v>1</v>
      </c>
      <c r="U51" s="12">
        <v>0.63156521739130433</v>
      </c>
      <c r="V51" s="14">
        <v>118</v>
      </c>
      <c r="W51" s="11">
        <v>2812.9285999999984</v>
      </c>
      <c r="X51" s="18">
        <v>142</v>
      </c>
    </row>
    <row r="52" spans="1:25" ht="15" customHeight="1" x14ac:dyDescent="0.3">
      <c r="A52" s="9">
        <v>35018</v>
      </c>
      <c r="B52" s="9" t="s">
        <v>60</v>
      </c>
      <c r="C52" s="10" t="s">
        <v>7</v>
      </c>
      <c r="D52" s="10">
        <v>4</v>
      </c>
      <c r="E52" s="11">
        <v>136.21113312</v>
      </c>
      <c r="F52" s="10">
        <v>683</v>
      </c>
      <c r="G52" s="10">
        <v>0.52427309321574322</v>
      </c>
      <c r="H52" s="12">
        <v>5.6999999999999993E-3</v>
      </c>
      <c r="I52" s="10">
        <v>0</v>
      </c>
      <c r="J52" s="13">
        <v>0</v>
      </c>
      <c r="K52" s="14">
        <v>3759</v>
      </c>
      <c r="L52" s="14">
        <v>3785</v>
      </c>
      <c r="M52" s="14">
        <v>679</v>
      </c>
      <c r="N52" s="15">
        <v>53.083100000000002</v>
      </c>
      <c r="O52" s="11">
        <f t="shared" si="0"/>
        <v>70.813498081310243</v>
      </c>
      <c r="P52" s="10">
        <v>57.999999999999993</v>
      </c>
      <c r="Q52" s="16">
        <v>18239</v>
      </c>
      <c r="R52" s="11">
        <v>3801474.5999999987</v>
      </c>
      <c r="S52" s="17">
        <v>69.968717413972897</v>
      </c>
      <c r="T52" s="10">
        <v>1</v>
      </c>
      <c r="U52" s="12">
        <v>0.42694046721929163</v>
      </c>
      <c r="V52" s="14">
        <v>344</v>
      </c>
      <c r="W52" s="11">
        <v>2571.9177999999979</v>
      </c>
      <c r="X52" s="18">
        <v>121</v>
      </c>
    </row>
    <row r="53" spans="1:25" ht="15" customHeight="1" x14ac:dyDescent="0.3">
      <c r="A53" s="9">
        <v>33010</v>
      </c>
      <c r="B53" s="9" t="s">
        <v>61</v>
      </c>
      <c r="C53" s="10" t="s">
        <v>3</v>
      </c>
      <c r="D53" s="10">
        <v>1</v>
      </c>
      <c r="E53" s="11">
        <v>60.838781129999994</v>
      </c>
      <c r="F53" s="10">
        <v>662</v>
      </c>
      <c r="G53" s="10">
        <v>0.71416258799927379</v>
      </c>
      <c r="H53" s="12">
        <v>0</v>
      </c>
      <c r="I53" s="10">
        <v>1</v>
      </c>
      <c r="J53" s="13">
        <v>0</v>
      </c>
      <c r="K53" s="14">
        <v>4707</v>
      </c>
      <c r="L53" s="14">
        <v>4830</v>
      </c>
      <c r="M53" s="14">
        <v>890</v>
      </c>
      <c r="N53" s="15">
        <v>40.983600000000003</v>
      </c>
      <c r="O53" s="11">
        <f t="shared" si="0"/>
        <v>114.85081837613093</v>
      </c>
      <c r="P53" s="10">
        <v>10</v>
      </c>
      <c r="Q53" s="16">
        <v>15386</v>
      </c>
      <c r="R53" s="11">
        <v>8872582.3499999978</v>
      </c>
      <c r="S53" s="17">
        <v>69.892473118279568</v>
      </c>
      <c r="T53" s="10">
        <v>1</v>
      </c>
      <c r="U53" s="12">
        <v>0.10981942410932163</v>
      </c>
      <c r="V53" s="14">
        <v>341</v>
      </c>
      <c r="W53" s="11">
        <v>3046.7779</v>
      </c>
      <c r="X53" s="18">
        <v>94</v>
      </c>
    </row>
    <row r="54" spans="1:25" ht="15" customHeight="1" x14ac:dyDescent="0.3">
      <c r="A54" s="9">
        <v>33011</v>
      </c>
      <c r="B54" s="9" t="s">
        <v>62</v>
      </c>
      <c r="C54" s="10" t="s">
        <v>3</v>
      </c>
      <c r="D54" s="10">
        <v>4</v>
      </c>
      <c r="E54" s="11">
        <v>62.226739170000002</v>
      </c>
      <c r="F54" s="10">
        <v>641</v>
      </c>
      <c r="G54" s="10">
        <v>0.87680872873231186</v>
      </c>
      <c r="H54" s="12">
        <v>1.2999999999999999E-3</v>
      </c>
      <c r="I54" s="10">
        <v>0</v>
      </c>
      <c r="J54" s="13">
        <v>0</v>
      </c>
      <c r="K54" s="14">
        <v>7645</v>
      </c>
      <c r="L54" s="14">
        <v>7537</v>
      </c>
      <c r="M54" s="14">
        <v>1419</v>
      </c>
      <c r="N54" s="15">
        <v>63.077300000000001</v>
      </c>
      <c r="O54" s="11">
        <f t="shared" si="0"/>
        <v>121.20049526533317</v>
      </c>
      <c r="P54" s="10">
        <v>15</v>
      </c>
      <c r="Q54" s="16">
        <v>15836</v>
      </c>
      <c r="R54" s="11">
        <v>5524997.5300000012</v>
      </c>
      <c r="S54" s="17"/>
      <c r="T54" s="10">
        <v>0</v>
      </c>
      <c r="U54" s="12">
        <v>0.12912650602409637</v>
      </c>
      <c r="V54" s="14">
        <v>620</v>
      </c>
      <c r="W54" s="11">
        <v>5418.9039999999995</v>
      </c>
      <c r="X54" s="18">
        <v>208</v>
      </c>
    </row>
    <row r="55" spans="1:25" ht="15" customHeight="1" x14ac:dyDescent="0.3">
      <c r="A55" s="9">
        <v>36005</v>
      </c>
      <c r="B55" s="9" t="s">
        <v>63</v>
      </c>
      <c r="C55" s="10" t="s">
        <v>27</v>
      </c>
      <c r="D55" s="10">
        <v>6</v>
      </c>
      <c r="E55" s="11">
        <v>287.36298930999999</v>
      </c>
      <c r="F55" s="10">
        <v>603</v>
      </c>
      <c r="G55" s="10">
        <v>0.8780671140562345</v>
      </c>
      <c r="H55" s="12">
        <v>0</v>
      </c>
      <c r="I55" s="10">
        <v>1</v>
      </c>
      <c r="J55" s="13">
        <v>0</v>
      </c>
      <c r="K55" s="14">
        <v>71869</v>
      </c>
      <c r="L55" s="14">
        <v>67268</v>
      </c>
      <c r="M55" s="14">
        <v>12940</v>
      </c>
      <c r="N55" s="15">
        <v>131.5427</v>
      </c>
      <c r="O55" s="11">
        <f t="shared" si="0"/>
        <v>546.3549098505656</v>
      </c>
      <c r="P55" s="10">
        <v>3</v>
      </c>
      <c r="Q55" s="16">
        <v>16094</v>
      </c>
      <c r="R55" s="11">
        <v>59516997.870000012</v>
      </c>
      <c r="S55" s="17">
        <v>73.224292851579563</v>
      </c>
      <c r="T55" s="10">
        <v>0</v>
      </c>
      <c r="U55" s="12">
        <v>2.4126501444427552E-2</v>
      </c>
      <c r="V55" s="14">
        <v>6940</v>
      </c>
      <c r="W55" s="11">
        <v>9345.4376999999913</v>
      </c>
      <c r="X55" s="18">
        <v>666</v>
      </c>
    </row>
    <row r="56" spans="1:25" ht="15" customHeight="1" x14ac:dyDescent="0.3">
      <c r="A56" s="9">
        <v>35011</v>
      </c>
      <c r="B56" s="9" t="s">
        <v>64</v>
      </c>
      <c r="C56" s="10" t="s">
        <v>7</v>
      </c>
      <c r="D56" s="10">
        <v>4</v>
      </c>
      <c r="E56" s="11">
        <v>74.769013759999993</v>
      </c>
      <c r="F56" s="10">
        <v>735</v>
      </c>
      <c r="G56" s="10">
        <v>0.60239796049527727</v>
      </c>
      <c r="H56" s="12">
        <v>0</v>
      </c>
      <c r="I56" s="10">
        <v>0</v>
      </c>
      <c r="J56" s="13">
        <v>0</v>
      </c>
      <c r="K56" s="14">
        <v>3895</v>
      </c>
      <c r="L56" s="14">
        <v>4178</v>
      </c>
      <c r="M56" s="14">
        <v>830</v>
      </c>
      <c r="N56" s="15">
        <v>89.568399999999997</v>
      </c>
      <c r="O56" s="11">
        <f t="shared" si="0"/>
        <v>43.486318835660789</v>
      </c>
      <c r="P56" s="10">
        <v>33</v>
      </c>
      <c r="Q56" s="16">
        <v>15546</v>
      </c>
      <c r="R56" s="11">
        <v>3807910.5000000009</v>
      </c>
      <c r="S56" s="17">
        <v>72.594008922880818</v>
      </c>
      <c r="T56" s="10">
        <v>1</v>
      </c>
      <c r="U56" s="12">
        <v>0.49982136876186223</v>
      </c>
      <c r="V56" s="14">
        <v>311</v>
      </c>
      <c r="W56" s="11">
        <v>4103.0151000000014</v>
      </c>
      <c r="X56" s="18">
        <v>197</v>
      </c>
    </row>
    <row r="57" spans="1:25" ht="15" customHeight="1" x14ac:dyDescent="0.3">
      <c r="A57" s="9">
        <v>37011</v>
      </c>
      <c r="B57" s="9" t="s">
        <v>65</v>
      </c>
      <c r="C57" s="10" t="s">
        <v>13</v>
      </c>
      <c r="D57" s="10">
        <v>0</v>
      </c>
      <c r="E57" s="11">
        <v>147.42860140400001</v>
      </c>
      <c r="F57" s="10">
        <v>586</v>
      </c>
      <c r="G57" s="10">
        <v>0.65830824660283482</v>
      </c>
      <c r="H57" s="12">
        <v>0</v>
      </c>
      <c r="I57" s="10">
        <v>2</v>
      </c>
      <c r="J57" s="10">
        <v>4</v>
      </c>
      <c r="K57" s="14">
        <v>35414</v>
      </c>
      <c r="L57" s="14">
        <v>35173</v>
      </c>
      <c r="M57" s="14">
        <v>7336</v>
      </c>
      <c r="N57" s="15">
        <v>17.333600000000001</v>
      </c>
      <c r="O57" s="11">
        <f t="shared" si="0"/>
        <v>2043.0839525545759</v>
      </c>
      <c r="P57" s="10">
        <v>5</v>
      </c>
      <c r="Q57" s="16">
        <v>19680</v>
      </c>
      <c r="R57" s="11">
        <v>41866348.300000012</v>
      </c>
      <c r="S57" s="17">
        <v>74.790663208595774</v>
      </c>
      <c r="T57" s="10">
        <v>0</v>
      </c>
      <c r="U57" s="12">
        <v>0.21138488170802081</v>
      </c>
      <c r="V57" s="14">
        <v>3271</v>
      </c>
      <c r="W57" s="11">
        <v>603.68250000000023</v>
      </c>
      <c r="X57" s="18">
        <v>29</v>
      </c>
    </row>
    <row r="58" spans="1:25" ht="15" customHeight="1" x14ac:dyDescent="0.3">
      <c r="A58" s="9">
        <v>37012</v>
      </c>
      <c r="B58" s="9" t="s">
        <v>66</v>
      </c>
      <c r="C58" s="10" t="s">
        <v>13</v>
      </c>
      <c r="D58" s="10">
        <v>2</v>
      </c>
      <c r="E58" s="11">
        <v>-0.14849629999999969</v>
      </c>
      <c r="F58" s="10">
        <v>638</v>
      </c>
      <c r="G58" s="10">
        <v>0.67463038722921864</v>
      </c>
      <c r="H58" s="12">
        <v>9.8999999999999991E-3</v>
      </c>
      <c r="I58" s="10">
        <v>0</v>
      </c>
      <c r="J58" s="13">
        <v>0</v>
      </c>
      <c r="K58" s="14">
        <v>3333</v>
      </c>
      <c r="L58" s="14">
        <v>3461</v>
      </c>
      <c r="M58" s="14">
        <v>636</v>
      </c>
      <c r="N58" s="15">
        <v>82.029600000000002</v>
      </c>
      <c r="O58" s="11">
        <f t="shared" si="0"/>
        <v>40.631674419965478</v>
      </c>
      <c r="P58" s="10">
        <v>97</v>
      </c>
      <c r="Q58" s="16">
        <v>15780</v>
      </c>
      <c r="R58" s="11">
        <v>2704589.8700000006</v>
      </c>
      <c r="S58" s="17">
        <v>72.324281150159749</v>
      </c>
      <c r="T58" s="10">
        <v>1</v>
      </c>
      <c r="U58" s="12">
        <v>0.29574789711081312</v>
      </c>
      <c r="V58" s="14">
        <v>225</v>
      </c>
      <c r="W58" s="11">
        <v>6301.6869000000006</v>
      </c>
      <c r="X58" s="18">
        <v>168</v>
      </c>
    </row>
    <row r="59" spans="1:25" ht="15" customHeight="1" x14ac:dyDescent="0.3">
      <c r="A59" s="9">
        <v>35012</v>
      </c>
      <c r="B59" s="9" t="s">
        <v>67</v>
      </c>
      <c r="C59" s="10" t="s">
        <v>7</v>
      </c>
      <c r="D59" s="10">
        <v>1</v>
      </c>
      <c r="E59" s="11">
        <v>560.79106721100004</v>
      </c>
      <c r="F59" s="10">
        <v>672</v>
      </c>
      <c r="G59" s="10">
        <v>0.65681933969154249</v>
      </c>
      <c r="H59" s="12">
        <v>0</v>
      </c>
      <c r="I59" s="10">
        <v>0</v>
      </c>
      <c r="J59" s="13">
        <v>0</v>
      </c>
      <c r="K59" s="14">
        <v>18937</v>
      </c>
      <c r="L59" s="14">
        <v>18635</v>
      </c>
      <c r="M59" s="14">
        <v>2689</v>
      </c>
      <c r="N59" s="15">
        <v>37.707299999999996</v>
      </c>
      <c r="O59" s="11">
        <f t="shared" si="0"/>
        <v>502.21044731391538</v>
      </c>
      <c r="P59" s="10">
        <v>12</v>
      </c>
      <c r="Q59" s="16">
        <v>16699</v>
      </c>
      <c r="R59" s="11">
        <v>15056946.15</v>
      </c>
      <c r="S59" s="17">
        <v>71.070960623405284</v>
      </c>
      <c r="T59" s="10">
        <v>0</v>
      </c>
      <c r="U59" s="12">
        <v>9.7350835322195697E-2</v>
      </c>
      <c r="V59" s="14">
        <v>1320</v>
      </c>
      <c r="W59" s="11">
        <v>1764.2931000000001</v>
      </c>
      <c r="X59" s="18">
        <v>196</v>
      </c>
    </row>
    <row r="60" spans="1:25" ht="15" customHeight="1" x14ac:dyDescent="0.3">
      <c r="A60" s="9">
        <v>35013</v>
      </c>
      <c r="B60" s="9" t="s">
        <v>68</v>
      </c>
      <c r="C60" s="10" t="s">
        <v>7</v>
      </c>
      <c r="D60" s="10">
        <v>5</v>
      </c>
      <c r="E60" s="11">
        <v>5.0922778999999991</v>
      </c>
      <c r="F60" s="10">
        <v>675</v>
      </c>
      <c r="G60" s="10">
        <v>0.72272751082489017</v>
      </c>
      <c r="H60" s="12">
        <v>0</v>
      </c>
      <c r="I60" s="10">
        <v>0</v>
      </c>
      <c r="J60" s="13">
        <v>0</v>
      </c>
      <c r="K60" s="14">
        <v>4541</v>
      </c>
      <c r="L60" s="14">
        <v>4534</v>
      </c>
      <c r="M60" s="14">
        <v>931</v>
      </c>
      <c r="N60" s="15">
        <v>63.804699999999997</v>
      </c>
      <c r="O60" s="11">
        <f t="shared" si="0"/>
        <v>71.170305635791721</v>
      </c>
      <c r="P60" s="10">
        <v>15</v>
      </c>
      <c r="Q60" s="16">
        <v>15040</v>
      </c>
      <c r="R60" s="11">
        <v>4965232.349999995</v>
      </c>
      <c r="S60" s="17">
        <v>71.444537580329708</v>
      </c>
      <c r="T60" s="10">
        <v>1</v>
      </c>
      <c r="U60" s="12">
        <v>0.49694357366771158</v>
      </c>
      <c r="V60" s="14">
        <v>349</v>
      </c>
      <c r="W60" s="11">
        <v>3126.0428999999986</v>
      </c>
      <c r="X60" s="18">
        <v>172</v>
      </c>
    </row>
    <row r="61" spans="1:25" ht="15" customHeight="1" x14ac:dyDescent="0.3">
      <c r="A61" s="9">
        <v>39005</v>
      </c>
      <c r="B61" s="9" t="s">
        <v>69</v>
      </c>
      <c r="C61" s="10" t="s">
        <v>9</v>
      </c>
      <c r="D61" s="10">
        <v>8</v>
      </c>
      <c r="E61" s="11">
        <v>-10.909058640000001</v>
      </c>
      <c r="F61" s="10">
        <v>654</v>
      </c>
      <c r="G61" s="10">
        <v>0.66116459208990208</v>
      </c>
      <c r="H61" s="12">
        <v>1.52E-2</v>
      </c>
      <c r="I61" s="10">
        <v>0</v>
      </c>
      <c r="J61" s="13">
        <v>0</v>
      </c>
      <c r="K61" s="14">
        <v>2498</v>
      </c>
      <c r="L61" s="14">
        <v>2724</v>
      </c>
      <c r="M61" s="14">
        <v>531</v>
      </c>
      <c r="N61" s="15">
        <v>84.421999999999997</v>
      </c>
      <c r="O61" s="11">
        <f t="shared" si="0"/>
        <v>29.58944350998555</v>
      </c>
      <c r="P61" s="10">
        <v>23</v>
      </c>
      <c r="Q61" s="16">
        <v>14091</v>
      </c>
      <c r="R61" s="11">
        <v>3407823.16</v>
      </c>
      <c r="S61" s="17">
        <v>73.636363636363626</v>
      </c>
      <c r="T61" s="10">
        <v>1</v>
      </c>
      <c r="U61" s="12">
        <v>0.62335228618810712</v>
      </c>
      <c r="V61" s="14">
        <v>148</v>
      </c>
      <c r="W61" s="11">
        <v>5613.8471000000045</v>
      </c>
      <c r="X61" s="18">
        <v>197</v>
      </c>
    </row>
    <row r="62" spans="1:25" ht="15" customHeight="1" x14ac:dyDescent="0.3">
      <c r="A62" s="9">
        <v>39006</v>
      </c>
      <c r="B62" s="9" t="s">
        <v>70</v>
      </c>
      <c r="C62" s="10" t="s">
        <v>9</v>
      </c>
      <c r="D62" s="10">
        <v>2</v>
      </c>
      <c r="E62" s="11">
        <v>71.263607895000007</v>
      </c>
      <c r="F62" s="10">
        <v>626</v>
      </c>
      <c r="G62" s="10">
        <v>0.61595762006333121</v>
      </c>
      <c r="H62" s="12">
        <v>0</v>
      </c>
      <c r="I62" s="10">
        <v>2</v>
      </c>
      <c r="J62" s="10">
        <v>2</v>
      </c>
      <c r="K62" s="14">
        <v>9527</v>
      </c>
      <c r="L62" s="14">
        <v>9519</v>
      </c>
      <c r="M62" s="14">
        <v>1786</v>
      </c>
      <c r="N62" s="15">
        <v>32.373899999999999</v>
      </c>
      <c r="O62" s="11">
        <f t="shared" si="0"/>
        <v>294.28026898211215</v>
      </c>
      <c r="P62" s="10">
        <v>2</v>
      </c>
      <c r="Q62" s="16">
        <v>16130</v>
      </c>
      <c r="R62" s="11">
        <v>7718123.6699999962</v>
      </c>
      <c r="S62" s="17">
        <v>73.709792709077917</v>
      </c>
      <c r="T62" s="10">
        <v>0</v>
      </c>
      <c r="U62" s="12">
        <v>2.0244053135619403E-2</v>
      </c>
      <c r="V62" s="14">
        <v>695</v>
      </c>
      <c r="W62" s="11">
        <v>2582.5226999999991</v>
      </c>
      <c r="X62" s="18">
        <v>246</v>
      </c>
    </row>
    <row r="63" spans="1:25" ht="15" customHeight="1" x14ac:dyDescent="0.3">
      <c r="A63" s="9">
        <v>37013</v>
      </c>
      <c r="B63" s="9" t="s">
        <v>71</v>
      </c>
      <c r="C63" s="10" t="s">
        <v>13</v>
      </c>
      <c r="D63" s="10">
        <v>5</v>
      </c>
      <c r="E63" s="11">
        <v>-28.562761576000003</v>
      </c>
      <c r="F63" s="10">
        <v>717</v>
      </c>
      <c r="G63" s="10">
        <v>0.50248568076946054</v>
      </c>
      <c r="H63" s="12">
        <v>0</v>
      </c>
      <c r="I63" s="10">
        <v>0</v>
      </c>
      <c r="J63" s="10">
        <v>1</v>
      </c>
      <c r="K63" s="14">
        <v>1895</v>
      </c>
      <c r="L63" s="14">
        <v>1951</v>
      </c>
      <c r="M63" s="14">
        <v>450</v>
      </c>
      <c r="N63" s="15">
        <v>45.261200000000002</v>
      </c>
      <c r="O63" s="11">
        <f t="shared" si="0"/>
        <v>41.868090108083742</v>
      </c>
      <c r="P63" s="10">
        <v>8</v>
      </c>
      <c r="Q63" s="16">
        <v>14909</v>
      </c>
      <c r="R63" s="11">
        <v>3369401.2599999993</v>
      </c>
      <c r="S63" s="17">
        <v>69.722401549386703</v>
      </c>
      <c r="T63" s="10">
        <v>1</v>
      </c>
      <c r="U63" s="12">
        <v>0.5848740609809987</v>
      </c>
      <c r="V63" s="14">
        <v>155</v>
      </c>
      <c r="W63" s="11">
        <v>1592.6737000000005</v>
      </c>
      <c r="X63" s="18">
        <v>92</v>
      </c>
    </row>
    <row r="64" spans="1:25" ht="15" customHeight="1" x14ac:dyDescent="0.3">
      <c r="A64" s="9">
        <v>37014</v>
      </c>
      <c r="B64" s="9" t="s">
        <v>72</v>
      </c>
      <c r="C64" s="10" t="s">
        <v>13</v>
      </c>
      <c r="D64" s="10">
        <v>3</v>
      </c>
      <c r="E64" s="11">
        <v>-29.533569437000004</v>
      </c>
      <c r="F64" s="10">
        <v>640</v>
      </c>
      <c r="G64" s="10">
        <v>0.58727242502682431</v>
      </c>
      <c r="H64" s="12">
        <v>0</v>
      </c>
      <c r="I64" s="10">
        <v>0</v>
      </c>
      <c r="J64" s="13">
        <v>0</v>
      </c>
      <c r="K64" s="14">
        <v>1200</v>
      </c>
      <c r="L64" s="14">
        <v>1230</v>
      </c>
      <c r="M64" s="14">
        <v>271</v>
      </c>
      <c r="N64" s="15">
        <v>52.581499999999998</v>
      </c>
      <c r="O64" s="11">
        <f t="shared" si="0"/>
        <v>22.8217148616909</v>
      </c>
      <c r="P64" s="10">
        <v>100</v>
      </c>
      <c r="Q64" s="16">
        <v>14112</v>
      </c>
      <c r="R64" s="11">
        <v>1538882.4100000001</v>
      </c>
      <c r="S64" s="17">
        <v>68.146503884572695</v>
      </c>
      <c r="T64" s="10">
        <v>1</v>
      </c>
      <c r="U64" s="12">
        <v>0.66564663370102695</v>
      </c>
      <c r="V64" s="14">
        <v>79</v>
      </c>
      <c r="W64" s="11">
        <v>2616.9602999999988</v>
      </c>
      <c r="X64" s="18">
        <v>88</v>
      </c>
    </row>
    <row r="65" spans="1:24" ht="15" customHeight="1" x14ac:dyDescent="0.3">
      <c r="A65" s="9">
        <v>37015</v>
      </c>
      <c r="B65" s="9" t="s">
        <v>73</v>
      </c>
      <c r="C65" s="10" t="s">
        <v>13</v>
      </c>
      <c r="D65" s="10">
        <v>1</v>
      </c>
      <c r="E65" s="11">
        <v>-22.446643100000003</v>
      </c>
      <c r="F65" s="10">
        <v>685</v>
      </c>
      <c r="G65" s="10">
        <v>0.4262235916684336</v>
      </c>
      <c r="H65" s="12">
        <v>0</v>
      </c>
      <c r="I65" s="10">
        <v>1</v>
      </c>
      <c r="J65" s="13">
        <v>0</v>
      </c>
      <c r="K65" s="14">
        <v>3305</v>
      </c>
      <c r="L65" s="14">
        <v>3479</v>
      </c>
      <c r="M65" s="14">
        <v>720</v>
      </c>
      <c r="N65" s="15">
        <v>47.325099999999999</v>
      </c>
      <c r="O65" s="11">
        <f t="shared" si="0"/>
        <v>69.836091207414242</v>
      </c>
      <c r="P65" s="10">
        <v>19</v>
      </c>
      <c r="Q65" s="16">
        <v>15941</v>
      </c>
      <c r="R65" s="11">
        <v>4118538.6199999987</v>
      </c>
      <c r="S65" s="17">
        <v>71.476761619190412</v>
      </c>
      <c r="T65" s="10">
        <v>1</v>
      </c>
      <c r="U65" s="12">
        <v>0.64212338897105437</v>
      </c>
      <c r="V65" s="14">
        <v>188</v>
      </c>
      <c r="W65" s="11">
        <v>1302.0411999999994</v>
      </c>
      <c r="X65" s="18">
        <v>100</v>
      </c>
    </row>
    <row r="66" spans="1:24" ht="15" customHeight="1" x14ac:dyDescent="0.3">
      <c r="A66" s="9">
        <v>37016</v>
      </c>
      <c r="B66" s="9" t="s">
        <v>74</v>
      </c>
      <c r="C66" s="10" t="s">
        <v>13</v>
      </c>
      <c r="D66" s="10">
        <v>0</v>
      </c>
      <c r="E66" s="11">
        <v>26.403027432999998</v>
      </c>
      <c r="F66" s="10">
        <v>670</v>
      </c>
      <c r="G66" s="10">
        <v>0.82420203571279305</v>
      </c>
      <c r="H66" s="12">
        <v>0</v>
      </c>
      <c r="I66" s="10">
        <v>0</v>
      </c>
      <c r="J66" s="13">
        <v>0</v>
      </c>
      <c r="K66" s="14">
        <v>4496</v>
      </c>
      <c r="L66" s="14">
        <v>4277</v>
      </c>
      <c r="M66" s="14">
        <v>673</v>
      </c>
      <c r="N66" s="15">
        <v>28.609300000000001</v>
      </c>
      <c r="O66" s="11">
        <f t="shared" ref="O66:O129" si="1">K66/N66</f>
        <v>157.15169542771056</v>
      </c>
      <c r="P66" s="10">
        <v>0</v>
      </c>
      <c r="Q66" s="16">
        <v>16839</v>
      </c>
      <c r="R66" s="11">
        <v>5875831.6699999981</v>
      </c>
      <c r="S66" s="17">
        <v>73.471741637831599</v>
      </c>
      <c r="T66" s="10">
        <v>1</v>
      </c>
      <c r="U66" s="12">
        <v>6.6864732610975187E-3</v>
      </c>
      <c r="V66" s="14">
        <v>536</v>
      </c>
      <c r="W66" s="11">
        <v>2393.2171000000003</v>
      </c>
      <c r="X66" s="18">
        <v>131</v>
      </c>
    </row>
    <row r="67" spans="1:24" ht="15" customHeight="1" x14ac:dyDescent="0.3">
      <c r="A67" s="9">
        <v>37019</v>
      </c>
      <c r="B67" s="9" t="s">
        <v>75</v>
      </c>
      <c r="C67" s="10" t="s">
        <v>13</v>
      </c>
      <c r="D67" s="10">
        <v>1</v>
      </c>
      <c r="E67" s="11">
        <v>96.224942859999999</v>
      </c>
      <c r="F67" s="10">
        <v>665</v>
      </c>
      <c r="G67" s="10">
        <v>0.81213964314750964</v>
      </c>
      <c r="H67" s="12">
        <v>0</v>
      </c>
      <c r="I67" s="10">
        <v>1</v>
      </c>
      <c r="J67" s="10">
        <v>2</v>
      </c>
      <c r="K67" s="14">
        <v>18462</v>
      </c>
      <c r="L67" s="14">
        <v>17507</v>
      </c>
      <c r="M67" s="14">
        <v>3395</v>
      </c>
      <c r="N67" s="15">
        <v>30.9009</v>
      </c>
      <c r="O67" s="11">
        <f t="shared" si="1"/>
        <v>597.45832645651103</v>
      </c>
      <c r="P67" s="10">
        <v>4</v>
      </c>
      <c r="Q67" s="16">
        <v>19046</v>
      </c>
      <c r="R67" s="11">
        <v>15090135.810000001</v>
      </c>
      <c r="S67" s="17">
        <v>76.729297146833687</v>
      </c>
      <c r="T67" s="10">
        <v>0</v>
      </c>
      <c r="U67" s="12">
        <v>4.5016181229773466E-2</v>
      </c>
      <c r="V67" s="14">
        <v>1671</v>
      </c>
      <c r="W67" s="11">
        <v>1936.4346000000003</v>
      </c>
      <c r="X67" s="18">
        <v>115</v>
      </c>
    </row>
    <row r="68" spans="1:24" ht="15" customHeight="1" x14ac:dyDescent="0.3">
      <c r="A68" s="9">
        <v>33013</v>
      </c>
      <c r="B68" s="9" t="s">
        <v>76</v>
      </c>
      <c r="C68" s="10" t="s">
        <v>3</v>
      </c>
      <c r="D68" s="10">
        <v>3</v>
      </c>
      <c r="E68" s="11">
        <v>90.940108519999995</v>
      </c>
      <c r="F68" s="10">
        <v>599</v>
      </c>
      <c r="G68" s="10">
        <v>0.85345021563847745</v>
      </c>
      <c r="H68" s="12">
        <v>0</v>
      </c>
      <c r="I68" s="10">
        <v>2</v>
      </c>
      <c r="J68" s="10">
        <v>1</v>
      </c>
      <c r="K68" s="14">
        <v>14097</v>
      </c>
      <c r="L68" s="14">
        <v>13629</v>
      </c>
      <c r="M68" s="14">
        <v>2334</v>
      </c>
      <c r="N68" s="15">
        <v>44.044800000000002</v>
      </c>
      <c r="O68" s="11">
        <f t="shared" si="1"/>
        <v>320.06048387096774</v>
      </c>
      <c r="P68" s="10">
        <v>4</v>
      </c>
      <c r="Q68" s="16">
        <v>15722</v>
      </c>
      <c r="R68" s="11">
        <v>14627340.430000005</v>
      </c>
      <c r="S68" s="17">
        <v>72.076694571968673</v>
      </c>
      <c r="T68" s="10">
        <v>1</v>
      </c>
      <c r="U68" s="12">
        <v>4.4425522252497733E-2</v>
      </c>
      <c r="V68" s="14">
        <v>1145</v>
      </c>
      <c r="W68" s="11">
        <v>3064.0226000000002</v>
      </c>
      <c r="X68" s="18">
        <v>125</v>
      </c>
    </row>
    <row r="69" spans="1:24" ht="15" customHeight="1" x14ac:dyDescent="0.3">
      <c r="A69" s="9">
        <v>37020</v>
      </c>
      <c r="B69" s="9" t="s">
        <v>77</v>
      </c>
      <c r="C69" s="10" t="s">
        <v>13</v>
      </c>
      <c r="D69" s="10">
        <v>6</v>
      </c>
      <c r="E69" s="11">
        <v>149.34035057700001</v>
      </c>
      <c r="F69" s="10">
        <v>635</v>
      </c>
      <c r="G69" s="10">
        <v>0.81116378973943082</v>
      </c>
      <c r="H69" s="12">
        <v>0</v>
      </c>
      <c r="I69" s="10">
        <v>3</v>
      </c>
      <c r="J69" s="13">
        <v>0</v>
      </c>
      <c r="K69" s="14">
        <v>20737</v>
      </c>
      <c r="L69" s="14">
        <v>20468</v>
      </c>
      <c r="M69" s="14">
        <v>4171</v>
      </c>
      <c r="N69" s="15">
        <v>148.417</v>
      </c>
      <c r="O69" s="11">
        <f t="shared" si="1"/>
        <v>139.72119096868957</v>
      </c>
      <c r="P69" s="10">
        <v>11</v>
      </c>
      <c r="Q69" s="16">
        <v>18176</v>
      </c>
      <c r="R69" s="11">
        <v>21147636.169999987</v>
      </c>
      <c r="S69" s="17">
        <v>76.537486865690099</v>
      </c>
      <c r="T69" s="10">
        <v>0</v>
      </c>
      <c r="U69" s="12">
        <v>0.14745991106319903</v>
      </c>
      <c r="V69" s="14">
        <v>1795</v>
      </c>
      <c r="W69" s="11">
        <v>10557.54449</v>
      </c>
      <c r="X69" s="18">
        <v>475</v>
      </c>
    </row>
    <row r="70" spans="1:24" ht="15" customHeight="1" x14ac:dyDescent="0.3">
      <c r="A70" s="9">
        <v>99021</v>
      </c>
      <c r="B70" s="9" t="s">
        <v>78</v>
      </c>
      <c r="C70" s="10" t="s">
        <v>30</v>
      </c>
      <c r="D70" s="10">
        <v>1</v>
      </c>
      <c r="E70" s="11">
        <v>-17.712511136</v>
      </c>
      <c r="F70" s="10">
        <v>719</v>
      </c>
      <c r="G70" s="10">
        <v>0.34817624744674641</v>
      </c>
      <c r="H70" s="12">
        <v>0</v>
      </c>
      <c r="I70" s="10">
        <v>0</v>
      </c>
      <c r="J70" s="13">
        <v>0</v>
      </c>
      <c r="K70" s="14">
        <v>373</v>
      </c>
      <c r="L70" s="14">
        <v>445</v>
      </c>
      <c r="M70" s="14">
        <v>88</v>
      </c>
      <c r="N70" s="15">
        <v>49.679400000000001</v>
      </c>
      <c r="O70" s="11">
        <f t="shared" si="1"/>
        <v>7.5081422078366487</v>
      </c>
      <c r="P70" s="10">
        <v>100</v>
      </c>
      <c r="Q70" s="16">
        <v>10002</v>
      </c>
      <c r="R70" s="11">
        <v>1101184.9600000004</v>
      </c>
      <c r="S70" s="17">
        <v>64.308681672025727</v>
      </c>
      <c r="T70" s="10">
        <v>1</v>
      </c>
      <c r="U70" s="12">
        <v>0.72745169082125605</v>
      </c>
      <c r="V70" s="14">
        <v>24</v>
      </c>
      <c r="W70" s="11">
        <v>2210.8529000000008</v>
      </c>
      <c r="X70" s="18">
        <v>49</v>
      </c>
    </row>
    <row r="71" spans="1:24" ht="15" customHeight="1" x14ac:dyDescent="0.3">
      <c r="A71" s="9">
        <v>36006</v>
      </c>
      <c r="B71" s="9" t="s">
        <v>79</v>
      </c>
      <c r="C71" s="10" t="s">
        <v>27</v>
      </c>
      <c r="D71" s="10">
        <v>5</v>
      </c>
      <c r="E71" s="11">
        <v>204.17156483000002</v>
      </c>
      <c r="F71" s="10">
        <v>629</v>
      </c>
      <c r="G71" s="10">
        <v>0.88912374109318359</v>
      </c>
      <c r="H71" s="12">
        <v>0</v>
      </c>
      <c r="I71" s="10">
        <v>2</v>
      </c>
      <c r="J71" s="13">
        <v>0</v>
      </c>
      <c r="K71" s="14">
        <v>33054</v>
      </c>
      <c r="L71" s="14">
        <v>31656</v>
      </c>
      <c r="M71" s="14">
        <v>5101</v>
      </c>
      <c r="N71" s="15">
        <v>102.5127</v>
      </c>
      <c r="O71" s="11">
        <f t="shared" si="1"/>
        <v>322.43809791372195</v>
      </c>
      <c r="P71" s="10">
        <v>3</v>
      </c>
      <c r="Q71" s="16">
        <v>16114</v>
      </c>
      <c r="R71" s="11">
        <v>37690857.460000038</v>
      </c>
      <c r="S71" s="17">
        <v>71.560089574521029</v>
      </c>
      <c r="T71" s="10">
        <v>0</v>
      </c>
      <c r="U71" s="12">
        <v>7.609989269339576E-3</v>
      </c>
      <c r="V71" s="14">
        <v>2256</v>
      </c>
      <c r="W71" s="11">
        <v>8009.4419999999964</v>
      </c>
      <c r="X71" s="18">
        <v>527</v>
      </c>
    </row>
    <row r="72" spans="1:24" ht="15" customHeight="1" x14ac:dyDescent="0.3">
      <c r="A72" s="9">
        <v>35014</v>
      </c>
      <c r="B72" s="9" t="s">
        <v>80</v>
      </c>
      <c r="C72" s="10" t="s">
        <v>7</v>
      </c>
      <c r="D72" s="10">
        <v>4</v>
      </c>
      <c r="E72" s="11">
        <v>389.57949918899999</v>
      </c>
      <c r="F72" s="10">
        <v>671</v>
      </c>
      <c r="G72" s="10">
        <v>0.6248018486761171</v>
      </c>
      <c r="H72" s="12">
        <v>0</v>
      </c>
      <c r="I72" s="10">
        <v>0</v>
      </c>
      <c r="J72" s="10">
        <v>1</v>
      </c>
      <c r="K72" s="14">
        <v>15246</v>
      </c>
      <c r="L72" s="14">
        <v>14838</v>
      </c>
      <c r="M72" s="14">
        <v>2028</v>
      </c>
      <c r="N72" s="15">
        <v>58.058900000000001</v>
      </c>
      <c r="O72" s="11">
        <f t="shared" si="1"/>
        <v>262.5953988105183</v>
      </c>
      <c r="P72" s="10">
        <v>13</v>
      </c>
      <c r="Q72" s="16">
        <v>18347</v>
      </c>
      <c r="R72" s="11">
        <v>13118784.52</v>
      </c>
      <c r="S72" s="17">
        <v>73.362957994466342</v>
      </c>
      <c r="T72" s="10">
        <v>0</v>
      </c>
      <c r="U72" s="12">
        <v>0.37943851188425765</v>
      </c>
      <c r="V72" s="14">
        <v>1083</v>
      </c>
      <c r="W72" s="11">
        <v>2572.9681999999984</v>
      </c>
      <c r="X72" s="18">
        <v>121</v>
      </c>
    </row>
    <row r="73" spans="1:24" ht="15" customHeight="1" x14ac:dyDescent="0.3">
      <c r="A73" s="9">
        <v>33012</v>
      </c>
      <c r="B73" s="9" t="s">
        <v>81</v>
      </c>
      <c r="C73" s="10" t="s">
        <v>3</v>
      </c>
      <c r="D73" s="10">
        <v>2</v>
      </c>
      <c r="E73" s="11">
        <v>16.047986722000001</v>
      </c>
      <c r="F73" s="10">
        <v>661</v>
      </c>
      <c r="G73" s="10">
        <v>0.64253186197468315</v>
      </c>
      <c r="H73" s="12">
        <v>8.6E-3</v>
      </c>
      <c r="I73" s="10">
        <v>0</v>
      </c>
      <c r="J73" s="13">
        <v>0</v>
      </c>
      <c r="K73" s="14">
        <v>4617</v>
      </c>
      <c r="L73" s="14">
        <v>4712</v>
      </c>
      <c r="M73" s="14">
        <v>968</v>
      </c>
      <c r="N73" s="15">
        <v>52.749299999999998</v>
      </c>
      <c r="O73" s="11">
        <f t="shared" si="1"/>
        <v>87.527227849469099</v>
      </c>
      <c r="P73" s="10">
        <v>9</v>
      </c>
      <c r="Q73" s="16">
        <v>16972</v>
      </c>
      <c r="R73" s="11">
        <v>5303605.8499999978</v>
      </c>
      <c r="S73" s="17">
        <v>65.734039105541754</v>
      </c>
      <c r="T73" s="10">
        <v>0</v>
      </c>
      <c r="U73" s="12">
        <v>0.21481895734597159</v>
      </c>
      <c r="V73" s="14">
        <v>360</v>
      </c>
      <c r="W73" s="11">
        <v>3724.1038999999992</v>
      </c>
      <c r="X73" s="18">
        <v>292</v>
      </c>
    </row>
    <row r="74" spans="1:24" ht="15" customHeight="1" x14ac:dyDescent="0.3">
      <c r="A74" s="9">
        <v>37017</v>
      </c>
      <c r="B74" s="9" t="s">
        <v>82</v>
      </c>
      <c r="C74" s="10" t="s">
        <v>13</v>
      </c>
      <c r="D74" s="10">
        <v>2</v>
      </c>
      <c r="E74" s="11">
        <v>36.756720709999996</v>
      </c>
      <c r="F74" s="10">
        <v>636</v>
      </c>
      <c r="G74" s="10">
        <v>0.7218294890867748</v>
      </c>
      <c r="H74" s="12">
        <v>0</v>
      </c>
      <c r="I74" s="10">
        <v>0</v>
      </c>
      <c r="J74" s="13">
        <v>0</v>
      </c>
      <c r="K74" s="14">
        <v>6641</v>
      </c>
      <c r="L74" s="14">
        <v>6458</v>
      </c>
      <c r="M74" s="14">
        <v>970</v>
      </c>
      <c r="N74" s="15">
        <v>29.071000000000002</v>
      </c>
      <c r="O74" s="11">
        <f t="shared" si="1"/>
        <v>228.44071411372155</v>
      </c>
      <c r="P74" s="10">
        <v>27</v>
      </c>
      <c r="Q74" s="16">
        <v>16447</v>
      </c>
      <c r="R74" s="11">
        <v>6199430.0599999996</v>
      </c>
      <c r="S74" s="17">
        <v>74.681753889674681</v>
      </c>
      <c r="T74" s="10">
        <v>0</v>
      </c>
      <c r="U74" s="12">
        <v>4.1984864121087026E-2</v>
      </c>
      <c r="V74" s="14">
        <v>441</v>
      </c>
      <c r="W74" s="11">
        <v>2333.2760999999987</v>
      </c>
      <c r="X74" s="18">
        <v>129</v>
      </c>
    </row>
    <row r="75" spans="1:24" ht="15" customHeight="1" x14ac:dyDescent="0.3">
      <c r="A75" s="9">
        <v>35015</v>
      </c>
      <c r="B75" s="26" t="s">
        <v>83</v>
      </c>
      <c r="C75" s="10" t="s">
        <v>7</v>
      </c>
      <c r="D75" s="10">
        <v>0</v>
      </c>
      <c r="E75" s="11">
        <v>51.197348529999999</v>
      </c>
      <c r="F75" s="10">
        <v>631</v>
      </c>
      <c r="G75" s="10">
        <v>0.85853488011533774</v>
      </c>
      <c r="H75" s="12">
        <v>0</v>
      </c>
      <c r="I75" s="10">
        <v>0</v>
      </c>
      <c r="J75" s="13">
        <v>0</v>
      </c>
      <c r="K75" s="14">
        <v>8484</v>
      </c>
      <c r="L75" s="14">
        <v>8594</v>
      </c>
      <c r="M75" s="14">
        <v>1382</v>
      </c>
      <c r="N75" s="15">
        <v>35.014800000000001</v>
      </c>
      <c r="O75" s="11">
        <f t="shared" si="1"/>
        <v>242.29754275335</v>
      </c>
      <c r="P75" s="10">
        <v>8</v>
      </c>
      <c r="Q75" s="16">
        <v>14888</v>
      </c>
      <c r="R75" s="11">
        <v>7085454.1100000013</v>
      </c>
      <c r="S75" s="17">
        <v>70.613683704534523</v>
      </c>
      <c r="T75" s="10">
        <v>0</v>
      </c>
      <c r="U75" s="12">
        <v>1.0374178806055415E-2</v>
      </c>
      <c r="V75" s="14">
        <v>645</v>
      </c>
      <c r="W75" s="11">
        <v>2284.5634999999993</v>
      </c>
      <c r="X75" s="18">
        <v>155</v>
      </c>
    </row>
    <row r="76" spans="1:24" ht="15" customHeight="1" x14ac:dyDescent="0.3">
      <c r="A76" s="9">
        <v>35016</v>
      </c>
      <c r="B76" s="9" t="s">
        <v>84</v>
      </c>
      <c r="C76" s="10" t="s">
        <v>7</v>
      </c>
      <c r="D76" s="10">
        <v>2</v>
      </c>
      <c r="E76" s="11">
        <v>33.177116562000002</v>
      </c>
      <c r="F76" s="10">
        <v>687</v>
      </c>
      <c r="G76" s="10">
        <v>0.67267664830015383</v>
      </c>
      <c r="H76" s="12">
        <v>5.2199999999999996E-2</v>
      </c>
      <c r="I76" s="10">
        <v>0</v>
      </c>
      <c r="J76" s="13">
        <v>0</v>
      </c>
      <c r="K76" s="14">
        <v>10294</v>
      </c>
      <c r="L76" s="14">
        <v>10481</v>
      </c>
      <c r="M76" s="14">
        <v>2000</v>
      </c>
      <c r="N76" s="15">
        <v>96.681700000000006</v>
      </c>
      <c r="O76" s="11">
        <f t="shared" si="1"/>
        <v>106.47309677012298</v>
      </c>
      <c r="P76" s="10">
        <v>17</v>
      </c>
      <c r="Q76" s="16">
        <v>15769</v>
      </c>
      <c r="R76" s="11">
        <v>14823155.960000008</v>
      </c>
      <c r="S76" s="17">
        <v>71.165182490906815</v>
      </c>
      <c r="T76" s="10">
        <v>0</v>
      </c>
      <c r="U76" s="12">
        <v>0.41003516756309466</v>
      </c>
      <c r="V76" s="14">
        <v>982</v>
      </c>
      <c r="W76" s="11">
        <v>4823.521499999998</v>
      </c>
      <c r="X76" s="18">
        <v>239</v>
      </c>
    </row>
    <row r="77" spans="1:24" ht="15" customHeight="1" x14ac:dyDescent="0.3">
      <c r="A77" s="9">
        <v>36007</v>
      </c>
      <c r="B77" s="9" t="s">
        <v>85</v>
      </c>
      <c r="C77" s="10" t="s">
        <v>27</v>
      </c>
      <c r="D77" s="10">
        <v>1</v>
      </c>
      <c r="E77" s="11">
        <v>113.945629501</v>
      </c>
      <c r="F77" s="10">
        <v>652</v>
      </c>
      <c r="G77" s="10">
        <v>0.70821700836621504</v>
      </c>
      <c r="H77" s="12">
        <v>0</v>
      </c>
      <c r="I77" s="10">
        <v>0</v>
      </c>
      <c r="J77" s="13">
        <v>0</v>
      </c>
      <c r="K77" s="14">
        <v>14971</v>
      </c>
      <c r="L77" s="14">
        <v>14116</v>
      </c>
      <c r="M77" s="14">
        <v>2599</v>
      </c>
      <c r="N77" s="15">
        <v>22.440999999999999</v>
      </c>
      <c r="O77" s="11">
        <f t="shared" si="1"/>
        <v>667.12713337195316</v>
      </c>
      <c r="P77" s="10">
        <v>0</v>
      </c>
      <c r="Q77" s="16">
        <v>19605</v>
      </c>
      <c r="R77" s="11">
        <v>14309448.23</v>
      </c>
      <c r="S77" s="17">
        <v>77.1875</v>
      </c>
      <c r="T77" s="10">
        <v>0</v>
      </c>
      <c r="U77" s="12">
        <v>2.3168449197860961E-2</v>
      </c>
      <c r="V77" s="14">
        <v>1220</v>
      </c>
      <c r="W77" s="11">
        <v>1383.9581999999994</v>
      </c>
      <c r="X77" s="18">
        <v>112</v>
      </c>
    </row>
    <row r="78" spans="1:24" ht="15" customHeight="1" x14ac:dyDescent="0.3">
      <c r="A78" s="9">
        <v>36008</v>
      </c>
      <c r="B78" s="9" t="s">
        <v>86</v>
      </c>
      <c r="C78" s="10" t="s">
        <v>27</v>
      </c>
      <c r="D78" s="10">
        <v>12</v>
      </c>
      <c r="E78" s="11">
        <v>456.95295398000002</v>
      </c>
      <c r="F78" s="10">
        <v>686</v>
      </c>
      <c r="G78" s="10">
        <v>0.710455636157032</v>
      </c>
      <c r="H78" s="12">
        <v>0</v>
      </c>
      <c r="I78" s="10">
        <v>0</v>
      </c>
      <c r="J78" s="10">
        <v>1</v>
      </c>
      <c r="K78" s="14">
        <v>11101</v>
      </c>
      <c r="L78" s="14">
        <v>11012</v>
      </c>
      <c r="M78" s="14">
        <v>1758</v>
      </c>
      <c r="N78" s="15">
        <v>49.783799999999999</v>
      </c>
      <c r="O78" s="11">
        <f t="shared" si="1"/>
        <v>222.98418360992935</v>
      </c>
      <c r="P78" s="10">
        <v>15</v>
      </c>
      <c r="Q78" s="16">
        <v>18203</v>
      </c>
      <c r="R78" s="11">
        <v>9186594.7800000068</v>
      </c>
      <c r="S78" s="17">
        <v>74.283305227655987</v>
      </c>
      <c r="T78" s="10">
        <v>0</v>
      </c>
      <c r="U78" s="12">
        <v>9.3153877059059864E-2</v>
      </c>
      <c r="V78" s="14">
        <v>785</v>
      </c>
      <c r="W78" s="11">
        <v>3416.319399999999</v>
      </c>
      <c r="X78" s="18">
        <v>324</v>
      </c>
    </row>
    <row r="79" spans="1:24" ht="15" customHeight="1" x14ac:dyDescent="0.3">
      <c r="A79" s="9">
        <v>33014</v>
      </c>
      <c r="B79" s="9" t="s">
        <v>87</v>
      </c>
      <c r="C79" s="10" t="s">
        <v>3</v>
      </c>
      <c r="D79" s="10">
        <v>2</v>
      </c>
      <c r="E79" s="11">
        <v>62.339111103</v>
      </c>
      <c r="F79" s="10">
        <v>669</v>
      </c>
      <c r="G79" s="10">
        <v>0.71141081920908034</v>
      </c>
      <c r="H79" s="12">
        <v>0</v>
      </c>
      <c r="I79" s="10">
        <v>2</v>
      </c>
      <c r="J79" s="13">
        <v>0</v>
      </c>
      <c r="K79" s="14">
        <v>5243</v>
      </c>
      <c r="L79" s="14">
        <v>5584</v>
      </c>
      <c r="M79" s="14">
        <v>951</v>
      </c>
      <c r="N79" s="15">
        <v>35.055300000000003</v>
      </c>
      <c r="O79" s="11">
        <f t="shared" si="1"/>
        <v>149.56368937079412</v>
      </c>
      <c r="P79" s="10">
        <v>15</v>
      </c>
      <c r="Q79" s="16">
        <v>16240</v>
      </c>
      <c r="R79" s="11">
        <v>5352630.080000001</v>
      </c>
      <c r="S79" s="17">
        <v>69.928164478573194</v>
      </c>
      <c r="T79" s="10">
        <v>0</v>
      </c>
      <c r="U79" s="12">
        <v>7.3405590416428981E-2</v>
      </c>
      <c r="V79" s="14">
        <v>432</v>
      </c>
      <c r="W79" s="11">
        <v>2555.8048999999992</v>
      </c>
      <c r="X79" s="18">
        <v>93</v>
      </c>
    </row>
    <row r="80" spans="1:24" ht="15" customHeight="1" x14ac:dyDescent="0.3">
      <c r="A80" s="9">
        <v>37021</v>
      </c>
      <c r="B80" s="26" t="s">
        <v>88</v>
      </c>
      <c r="C80" s="10" t="s">
        <v>13</v>
      </c>
      <c r="D80" s="10">
        <v>4</v>
      </c>
      <c r="E80" s="11">
        <v>59.167170503999998</v>
      </c>
      <c r="F80" s="10">
        <v>713</v>
      </c>
      <c r="G80" s="10">
        <v>0.73223661898165737</v>
      </c>
      <c r="H80" s="12">
        <v>0</v>
      </c>
      <c r="I80" s="10">
        <v>0</v>
      </c>
      <c r="J80" s="10">
        <v>1</v>
      </c>
      <c r="K80" s="14">
        <v>16145</v>
      </c>
      <c r="L80" s="14">
        <v>14352</v>
      </c>
      <c r="M80" s="14">
        <v>3103</v>
      </c>
      <c r="N80" s="15">
        <v>35.733800000000002</v>
      </c>
      <c r="O80" s="11">
        <f t="shared" si="1"/>
        <v>451.81312930614712</v>
      </c>
      <c r="P80" s="10">
        <v>5</v>
      </c>
      <c r="Q80" s="16">
        <v>20151</v>
      </c>
      <c r="R80" s="11">
        <v>16321467.349999998</v>
      </c>
      <c r="S80" s="17">
        <v>78.058128393484509</v>
      </c>
      <c r="T80" s="10">
        <v>0</v>
      </c>
      <c r="U80" s="12">
        <v>6.5418415897005325E-2</v>
      </c>
      <c r="V80" s="14">
        <v>1614</v>
      </c>
      <c r="W80" s="11">
        <v>2530.5751000000018</v>
      </c>
      <c r="X80" s="18">
        <v>178</v>
      </c>
    </row>
    <row r="81" spans="1:24" ht="15" customHeight="1" x14ac:dyDescent="0.3">
      <c r="A81" s="9">
        <v>37022</v>
      </c>
      <c r="B81" s="9" t="s">
        <v>89</v>
      </c>
      <c r="C81" s="10" t="s">
        <v>13</v>
      </c>
      <c r="D81" s="10">
        <v>4</v>
      </c>
      <c r="E81" s="11">
        <v>13.381178609999999</v>
      </c>
      <c r="F81" s="10">
        <v>663</v>
      </c>
      <c r="G81" s="10">
        <v>0.40773719514037399</v>
      </c>
      <c r="H81" s="12">
        <v>6.6400000000000001E-2</v>
      </c>
      <c r="I81" s="10">
        <v>0</v>
      </c>
      <c r="J81" s="13">
        <v>0</v>
      </c>
      <c r="K81" s="14">
        <v>5431</v>
      </c>
      <c r="L81" s="14">
        <v>5870</v>
      </c>
      <c r="M81" s="14">
        <v>1225</v>
      </c>
      <c r="N81" s="15">
        <v>65.764099999999999</v>
      </c>
      <c r="O81" s="11">
        <f t="shared" si="1"/>
        <v>82.58305063096735</v>
      </c>
      <c r="P81" s="10">
        <v>49</v>
      </c>
      <c r="Q81" s="16">
        <v>15679</v>
      </c>
      <c r="R81" s="11">
        <v>6262635.04</v>
      </c>
      <c r="S81" s="17">
        <v>72.317849563782119</v>
      </c>
      <c r="T81" s="10">
        <v>0</v>
      </c>
      <c r="U81" s="12">
        <v>0.66160279805352795</v>
      </c>
      <c r="V81" s="14">
        <v>442</v>
      </c>
      <c r="W81" s="11">
        <v>1602.0878000000007</v>
      </c>
      <c r="X81" s="18">
        <v>127</v>
      </c>
    </row>
    <row r="82" spans="1:24" ht="15" customHeight="1" x14ac:dyDescent="0.3">
      <c r="A82" s="9">
        <v>40005</v>
      </c>
      <c r="B82" s="9" t="s">
        <v>90</v>
      </c>
      <c r="C82" s="10" t="s">
        <v>21</v>
      </c>
      <c r="D82" s="10">
        <v>7</v>
      </c>
      <c r="E82" s="11">
        <v>22.614191662</v>
      </c>
      <c r="F82" s="10">
        <v>645</v>
      </c>
      <c r="G82" s="10">
        <v>0.86167798653315419</v>
      </c>
      <c r="H82" s="12">
        <v>0</v>
      </c>
      <c r="I82" s="10">
        <v>0</v>
      </c>
      <c r="J82" s="13">
        <v>0</v>
      </c>
      <c r="K82" s="14">
        <v>6352</v>
      </c>
      <c r="L82" s="14">
        <v>6512</v>
      </c>
      <c r="M82" s="14">
        <v>1320</v>
      </c>
      <c r="N82" s="15">
        <v>38.950800000000001</v>
      </c>
      <c r="O82" s="11">
        <f t="shared" si="1"/>
        <v>163.07752343982665</v>
      </c>
      <c r="P82" s="10">
        <v>10</v>
      </c>
      <c r="Q82" s="16">
        <v>15255</v>
      </c>
      <c r="R82" s="11">
        <v>5037851.7099999981</v>
      </c>
      <c r="S82" s="17">
        <v>68.022782750203419</v>
      </c>
      <c r="T82" s="10">
        <v>0</v>
      </c>
      <c r="U82" s="12">
        <v>0.1919512195121951</v>
      </c>
      <c r="V82" s="14">
        <v>508</v>
      </c>
      <c r="W82" s="11">
        <v>2959.8084000000017</v>
      </c>
      <c r="X82" s="18">
        <v>176</v>
      </c>
    </row>
    <row r="83" spans="1:24" ht="15" customHeight="1" x14ac:dyDescent="0.3">
      <c r="A83" s="9">
        <v>99002</v>
      </c>
      <c r="B83" s="9" t="s">
        <v>91</v>
      </c>
      <c r="C83" s="10" t="s">
        <v>30</v>
      </c>
      <c r="D83" s="10">
        <v>0</v>
      </c>
      <c r="E83" s="11">
        <v>56.810219230999998</v>
      </c>
      <c r="F83" s="10">
        <v>607</v>
      </c>
      <c r="G83" s="10">
        <v>0.79631071050142177</v>
      </c>
      <c r="H83" s="12">
        <v>0</v>
      </c>
      <c r="I83" s="10">
        <v>2</v>
      </c>
      <c r="J83" s="13">
        <v>0</v>
      </c>
      <c r="K83" s="14">
        <v>16543</v>
      </c>
      <c r="L83" s="14">
        <v>16550</v>
      </c>
      <c r="M83" s="14">
        <v>3313</v>
      </c>
      <c r="N83" s="15">
        <v>6.1959999999999997</v>
      </c>
      <c r="O83" s="11">
        <f t="shared" si="1"/>
        <v>2669.94835377663</v>
      </c>
      <c r="P83" s="10">
        <v>9</v>
      </c>
      <c r="Q83" s="16">
        <v>14321</v>
      </c>
      <c r="R83" s="11">
        <v>29148400.489999995</v>
      </c>
      <c r="S83" s="17">
        <v>67.369242779078846</v>
      </c>
      <c r="T83" s="10">
        <v>0</v>
      </c>
      <c r="U83" s="12">
        <v>4.6290322580645159E-3</v>
      </c>
      <c r="V83" s="14">
        <v>2514</v>
      </c>
      <c r="W83" s="11">
        <v>24.318699999999996</v>
      </c>
      <c r="X83" s="18">
        <v>5</v>
      </c>
    </row>
    <row r="84" spans="1:24" ht="15" customHeight="1" x14ac:dyDescent="0.3">
      <c r="A84" s="9">
        <v>36009</v>
      </c>
      <c r="B84" s="9" t="s">
        <v>92</v>
      </c>
      <c r="C84" s="10" t="s">
        <v>27</v>
      </c>
      <c r="D84" s="10">
        <v>2</v>
      </c>
      <c r="E84" s="11">
        <v>32.526308362999998</v>
      </c>
      <c r="F84" s="10">
        <v>634</v>
      </c>
      <c r="G84" s="10">
        <v>0.91221024933475536</v>
      </c>
      <c r="H84" s="12">
        <v>0</v>
      </c>
      <c r="I84" s="10">
        <v>0</v>
      </c>
      <c r="J84" s="13">
        <v>0</v>
      </c>
      <c r="K84" s="14">
        <v>7051</v>
      </c>
      <c r="L84" s="14">
        <v>7196</v>
      </c>
      <c r="M84" s="14">
        <v>1352</v>
      </c>
      <c r="N84" s="15">
        <v>26.772300000000001</v>
      </c>
      <c r="O84" s="11">
        <f t="shared" si="1"/>
        <v>263.36922864303773</v>
      </c>
      <c r="P84" s="10">
        <v>4</v>
      </c>
      <c r="Q84" s="16">
        <v>18253</v>
      </c>
      <c r="R84" s="11">
        <v>7780906.4200000027</v>
      </c>
      <c r="S84" s="17">
        <v>72.80214518291514</v>
      </c>
      <c r="T84" s="10">
        <v>0</v>
      </c>
      <c r="U84" s="12">
        <v>3.5472543892416879E-2</v>
      </c>
      <c r="V84" s="14">
        <v>583</v>
      </c>
      <c r="W84" s="11">
        <v>2029.3809000000003</v>
      </c>
      <c r="X84" s="18">
        <v>211</v>
      </c>
    </row>
    <row r="85" spans="1:24" ht="15" customHeight="1" x14ac:dyDescent="0.3">
      <c r="A85" s="9">
        <v>35017</v>
      </c>
      <c r="B85" s="9" t="s">
        <v>93</v>
      </c>
      <c r="C85" s="10" t="s">
        <v>7</v>
      </c>
      <c r="D85" s="10">
        <v>0</v>
      </c>
      <c r="E85" s="11">
        <v>41.393502170999994</v>
      </c>
      <c r="F85" s="10">
        <v>632</v>
      </c>
      <c r="G85" s="10">
        <v>0.89259198135480911</v>
      </c>
      <c r="H85" s="12">
        <v>0</v>
      </c>
      <c r="I85" s="10">
        <v>0</v>
      </c>
      <c r="J85" s="10">
        <v>1</v>
      </c>
      <c r="K85" s="14">
        <v>9842</v>
      </c>
      <c r="L85" s="14">
        <v>9698</v>
      </c>
      <c r="M85" s="14">
        <v>1756</v>
      </c>
      <c r="N85" s="15">
        <v>17.015999999999998</v>
      </c>
      <c r="O85" s="11">
        <f t="shared" si="1"/>
        <v>578.39680300893281</v>
      </c>
      <c r="P85" s="10">
        <v>0</v>
      </c>
      <c r="Q85" s="16">
        <v>16456</v>
      </c>
      <c r="R85" s="11">
        <v>11467430.030000012</v>
      </c>
      <c r="S85" s="17">
        <v>73.506320691949441</v>
      </c>
      <c r="T85" s="10">
        <v>0</v>
      </c>
      <c r="U85" s="12">
        <v>5.0141010575793191E-2</v>
      </c>
      <c r="V85" s="14">
        <v>875</v>
      </c>
      <c r="W85" s="11">
        <v>991.94670000000042</v>
      </c>
      <c r="X85" s="18">
        <v>82</v>
      </c>
    </row>
    <row r="86" spans="1:24" ht="15" customHeight="1" x14ac:dyDescent="0.3">
      <c r="A86" s="9">
        <v>38004</v>
      </c>
      <c r="B86" s="9" t="s">
        <v>94</v>
      </c>
      <c r="C86" s="10" t="s">
        <v>17</v>
      </c>
      <c r="D86" s="10">
        <v>5</v>
      </c>
      <c r="E86" s="11">
        <v>114.517076031</v>
      </c>
      <c r="F86" s="10">
        <v>658</v>
      </c>
      <c r="G86" s="10">
        <v>0.74755864734408517</v>
      </c>
      <c r="H86" s="12">
        <v>0</v>
      </c>
      <c r="I86" s="10">
        <v>0</v>
      </c>
      <c r="J86" s="10">
        <v>2</v>
      </c>
      <c r="K86" s="14">
        <v>35231</v>
      </c>
      <c r="L86" s="14">
        <v>34723</v>
      </c>
      <c r="M86" s="14">
        <v>6024</v>
      </c>
      <c r="N86" s="15">
        <v>64.742500000000007</v>
      </c>
      <c r="O86" s="11">
        <f t="shared" si="1"/>
        <v>544.17113951422937</v>
      </c>
      <c r="P86" s="10">
        <v>7.0000000000000009</v>
      </c>
      <c r="Q86" s="16">
        <v>16352</v>
      </c>
      <c r="R86" s="11">
        <v>34085721.37000002</v>
      </c>
      <c r="S86" s="17">
        <v>71.290017048683467</v>
      </c>
      <c r="T86" s="10">
        <v>0</v>
      </c>
      <c r="U86" s="12">
        <v>8.4074760580784679E-3</v>
      </c>
      <c r="V86" s="14">
        <v>2725</v>
      </c>
      <c r="W86" s="11">
        <v>4256.4374000000016</v>
      </c>
      <c r="X86" s="18">
        <v>459</v>
      </c>
    </row>
    <row r="87" spans="1:24" ht="15" customHeight="1" x14ac:dyDescent="0.3">
      <c r="A87" s="9">
        <v>33015</v>
      </c>
      <c r="B87" s="9" t="s">
        <v>95</v>
      </c>
      <c r="C87" s="10" t="s">
        <v>3</v>
      </c>
      <c r="D87" s="10">
        <v>0</v>
      </c>
      <c r="E87" s="11">
        <v>-29.590897806999997</v>
      </c>
      <c r="F87" s="10">
        <v>648</v>
      </c>
      <c r="G87" s="11">
        <v>0.11051731509191963</v>
      </c>
      <c r="H87" s="12">
        <v>0</v>
      </c>
      <c r="I87" s="10">
        <v>0</v>
      </c>
      <c r="J87" s="13">
        <v>0</v>
      </c>
      <c r="K87" s="14">
        <v>117</v>
      </c>
      <c r="L87" s="14">
        <v>155</v>
      </c>
      <c r="M87" s="14">
        <v>43</v>
      </c>
      <c r="N87" s="15">
        <v>30.817900000000002</v>
      </c>
      <c r="O87" s="11">
        <f t="shared" si="1"/>
        <v>3.7964948942010972</v>
      </c>
      <c r="P87" s="10">
        <v>100</v>
      </c>
      <c r="Q87" s="16">
        <v>14484</v>
      </c>
      <c r="R87" s="11">
        <v>835296.14000000048</v>
      </c>
      <c r="S87" s="17">
        <v>62.385321100917437</v>
      </c>
      <c r="T87" s="10">
        <v>1</v>
      </c>
      <c r="U87" s="12">
        <v>0.89970149253731346</v>
      </c>
      <c r="V87" s="14">
        <v>13</v>
      </c>
      <c r="W87" s="11">
        <v>228.50760000000008</v>
      </c>
      <c r="X87" s="18">
        <v>19</v>
      </c>
    </row>
    <row r="88" spans="1:24" ht="15" customHeight="1" x14ac:dyDescent="0.3">
      <c r="A88" s="9">
        <v>39007</v>
      </c>
      <c r="B88" s="9" t="s">
        <v>96</v>
      </c>
      <c r="C88" s="10" t="s">
        <v>9</v>
      </c>
      <c r="D88" s="10">
        <v>0</v>
      </c>
      <c r="E88" s="11">
        <v>90.895072289000012</v>
      </c>
      <c r="F88" s="10">
        <v>650</v>
      </c>
      <c r="G88" s="11">
        <v>0.75223513303022438</v>
      </c>
      <c r="H88" s="12">
        <v>0.1331</v>
      </c>
      <c r="I88" s="10">
        <v>2</v>
      </c>
      <c r="J88" s="13">
        <v>0</v>
      </c>
      <c r="K88" s="14">
        <v>28983</v>
      </c>
      <c r="L88" s="14">
        <v>28896</v>
      </c>
      <c r="M88" s="14">
        <v>5588</v>
      </c>
      <c r="N88" s="15">
        <v>82.273799999999994</v>
      </c>
      <c r="O88" s="11">
        <f t="shared" si="1"/>
        <v>352.27496481261352</v>
      </c>
      <c r="P88" s="10">
        <v>5</v>
      </c>
      <c r="Q88" s="16">
        <v>16006</v>
      </c>
      <c r="R88" s="11">
        <v>63341557.629999951</v>
      </c>
      <c r="S88" s="17">
        <v>70.920353982300881</v>
      </c>
      <c r="T88" s="10">
        <v>0</v>
      </c>
      <c r="U88" s="12">
        <v>2.9771484137595724E-2</v>
      </c>
      <c r="V88" s="14">
        <v>3565</v>
      </c>
      <c r="W88" s="11">
        <v>4579.6798000000017</v>
      </c>
      <c r="X88" s="18">
        <v>342</v>
      </c>
    </row>
    <row r="89" spans="1:24" ht="15" customHeight="1" x14ac:dyDescent="0.3">
      <c r="A89" s="9">
        <v>40007</v>
      </c>
      <c r="B89" s="9" t="s">
        <v>97</v>
      </c>
      <c r="C89" s="10" t="s">
        <v>21</v>
      </c>
      <c r="D89" s="10">
        <v>24</v>
      </c>
      <c r="E89" s="11">
        <v>532.705003261</v>
      </c>
      <c r="F89" s="10">
        <v>639</v>
      </c>
      <c r="G89" s="11">
        <v>0.78729337085674866</v>
      </c>
      <c r="H89" s="12">
        <v>0</v>
      </c>
      <c r="I89" s="10">
        <v>2</v>
      </c>
      <c r="J89" s="10">
        <v>6</v>
      </c>
      <c r="K89" s="14">
        <v>95778</v>
      </c>
      <c r="L89" s="14">
        <v>95990</v>
      </c>
      <c r="M89" s="14">
        <v>18903</v>
      </c>
      <c r="N89" s="15">
        <v>249.46530000000001</v>
      </c>
      <c r="O89" s="11">
        <f t="shared" si="1"/>
        <v>383.93315623455442</v>
      </c>
      <c r="P89" s="10">
        <v>6</v>
      </c>
      <c r="Q89" s="16">
        <v>16651</v>
      </c>
      <c r="R89" s="11">
        <v>106514221.05000007</v>
      </c>
      <c r="S89" s="17">
        <v>73.996291518864894</v>
      </c>
      <c r="T89" s="10">
        <v>0</v>
      </c>
      <c r="U89" s="12">
        <v>0.13120014430592858</v>
      </c>
      <c r="V89" s="14">
        <v>9445</v>
      </c>
      <c r="W89" s="11">
        <v>15423.312700000004</v>
      </c>
      <c r="X89" s="18">
        <v>2272</v>
      </c>
    </row>
    <row r="90" spans="1:24" ht="15" customHeight="1" x14ac:dyDescent="0.3">
      <c r="A90" s="9">
        <v>40008</v>
      </c>
      <c r="B90" s="9" t="s">
        <v>98</v>
      </c>
      <c r="C90" s="10" t="s">
        <v>21</v>
      </c>
      <c r="D90" s="10">
        <v>5</v>
      </c>
      <c r="E90" s="11">
        <v>87.550754155999996</v>
      </c>
      <c r="F90" s="10">
        <v>639</v>
      </c>
      <c r="G90" s="11">
        <v>0.62367969547368374</v>
      </c>
      <c r="H90" s="12">
        <v>7.000000000000001E-4</v>
      </c>
      <c r="I90" s="10">
        <v>2</v>
      </c>
      <c r="J90" s="10">
        <v>0</v>
      </c>
      <c r="K90" s="14">
        <v>25921</v>
      </c>
      <c r="L90" s="14">
        <v>25412</v>
      </c>
      <c r="M90" s="14">
        <v>4788</v>
      </c>
      <c r="N90" s="15">
        <v>45.164099999999998</v>
      </c>
      <c r="O90" s="11">
        <f t="shared" si="1"/>
        <v>573.92929339896068</v>
      </c>
      <c r="P90" s="10">
        <v>0</v>
      </c>
      <c r="Q90" s="16">
        <v>14618</v>
      </c>
      <c r="R90" s="11">
        <v>56051063.04999999</v>
      </c>
      <c r="S90" s="17">
        <v>68.996960486322195</v>
      </c>
      <c r="T90" s="10">
        <v>0</v>
      </c>
      <c r="U90" s="12">
        <v>9.5925597874224992E-3</v>
      </c>
      <c r="V90" s="14">
        <v>3152</v>
      </c>
      <c r="W90" s="11">
        <v>2267.9146999999998</v>
      </c>
      <c r="X90" s="18">
        <v>460</v>
      </c>
    </row>
    <row r="91" spans="1:24" ht="15" customHeight="1" x14ac:dyDescent="0.3">
      <c r="A91" s="9">
        <v>40009</v>
      </c>
      <c r="B91" s="9" t="s">
        <v>99</v>
      </c>
      <c r="C91" s="10" t="s">
        <v>21</v>
      </c>
      <c r="D91" s="10">
        <v>9</v>
      </c>
      <c r="E91" s="11">
        <v>24.338535038</v>
      </c>
      <c r="F91" s="10">
        <v>652</v>
      </c>
      <c r="G91" s="11">
        <v>0.88145218627799504</v>
      </c>
      <c r="H91" s="12">
        <v>0</v>
      </c>
      <c r="I91" s="10">
        <v>0</v>
      </c>
      <c r="J91" s="13">
        <v>0</v>
      </c>
      <c r="K91" s="14">
        <v>3639</v>
      </c>
      <c r="L91" s="14">
        <v>3792</v>
      </c>
      <c r="M91" s="14">
        <v>720</v>
      </c>
      <c r="N91" s="15">
        <v>117.9308</v>
      </c>
      <c r="O91" s="11">
        <f t="shared" si="1"/>
        <v>30.857078897115933</v>
      </c>
      <c r="P91" s="10">
        <v>60</v>
      </c>
      <c r="Q91" s="16">
        <v>13192</v>
      </c>
      <c r="R91" s="11">
        <v>3321202.3099999996</v>
      </c>
      <c r="S91" s="17">
        <v>69.38698758931929</v>
      </c>
      <c r="T91" s="10">
        <v>1</v>
      </c>
      <c r="U91" s="12">
        <v>0.45329941490714826</v>
      </c>
      <c r="V91" s="14">
        <v>252</v>
      </c>
      <c r="W91" s="11">
        <v>8469.2125000000033</v>
      </c>
      <c r="X91" s="18">
        <v>277</v>
      </c>
    </row>
    <row r="92" spans="1:24" ht="15" customHeight="1" x14ac:dyDescent="0.3">
      <c r="A92" s="9">
        <v>38005</v>
      </c>
      <c r="B92" s="9" t="s">
        <v>100</v>
      </c>
      <c r="C92" s="10" t="s">
        <v>17</v>
      </c>
      <c r="D92" s="10">
        <v>3</v>
      </c>
      <c r="E92" s="11">
        <v>128.286686973</v>
      </c>
      <c r="F92" s="10">
        <v>671</v>
      </c>
      <c r="G92" s="11">
        <v>0.74103192311147725</v>
      </c>
      <c r="H92" s="12">
        <v>4.8899999999999999E-2</v>
      </c>
      <c r="I92" s="10">
        <v>0</v>
      </c>
      <c r="J92" s="13">
        <v>0</v>
      </c>
      <c r="K92" s="14">
        <v>11072</v>
      </c>
      <c r="L92" s="14">
        <v>12389</v>
      </c>
      <c r="M92" s="14">
        <v>2740</v>
      </c>
      <c r="N92" s="15">
        <v>170.011</v>
      </c>
      <c r="O92" s="11">
        <f t="shared" si="1"/>
        <v>65.12519778132004</v>
      </c>
      <c r="P92" s="10">
        <v>25</v>
      </c>
      <c r="Q92" s="16">
        <v>14468</v>
      </c>
      <c r="R92" s="11">
        <v>12023303.98</v>
      </c>
      <c r="S92" s="17">
        <v>64.522821576763491</v>
      </c>
      <c r="T92" s="10">
        <v>0</v>
      </c>
      <c r="U92" s="12">
        <v>1.4386212575730842E-2</v>
      </c>
      <c r="V92" s="14">
        <v>694</v>
      </c>
      <c r="W92" s="11">
        <v>16533.454799999992</v>
      </c>
      <c r="X92" s="18">
        <v>327</v>
      </c>
    </row>
    <row r="93" spans="1:24" ht="15" customHeight="1" x14ac:dyDescent="0.3">
      <c r="A93" s="9">
        <v>33016</v>
      </c>
      <c r="B93" s="9" t="s">
        <v>101</v>
      </c>
      <c r="C93" s="10" t="s">
        <v>3</v>
      </c>
      <c r="D93" s="10">
        <v>3</v>
      </c>
      <c r="E93" s="11">
        <v>-26.241059584000002</v>
      </c>
      <c r="F93" s="10">
        <v>659</v>
      </c>
      <c r="G93" s="11">
        <v>0.34003166376268096</v>
      </c>
      <c r="H93" s="12">
        <v>0</v>
      </c>
      <c r="I93" s="10">
        <v>0</v>
      </c>
      <c r="J93" s="13">
        <v>0</v>
      </c>
      <c r="K93" s="14">
        <v>837</v>
      </c>
      <c r="L93" s="14">
        <v>955</v>
      </c>
      <c r="M93" s="14">
        <v>239</v>
      </c>
      <c r="N93" s="15">
        <v>71.690700000000007</v>
      </c>
      <c r="O93" s="11">
        <f t="shared" si="1"/>
        <v>11.675154517950025</v>
      </c>
      <c r="P93" s="10">
        <v>99</v>
      </c>
      <c r="Q93" s="16">
        <v>13930</v>
      </c>
      <c r="R93" s="11">
        <v>1495404.9500000002</v>
      </c>
      <c r="S93" s="17">
        <v>67.318435754189949</v>
      </c>
      <c r="T93" s="10">
        <v>1</v>
      </c>
      <c r="U93" s="12">
        <v>0.71204212581950066</v>
      </c>
      <c r="V93" s="14">
        <v>64</v>
      </c>
      <c r="W93" s="11">
        <v>1960.4231999999995</v>
      </c>
      <c r="X93" s="18">
        <v>99</v>
      </c>
    </row>
    <row r="94" spans="1:24" ht="15" customHeight="1" x14ac:dyDescent="0.3">
      <c r="A94" s="9">
        <v>34009</v>
      </c>
      <c r="B94" s="9" t="s">
        <v>102</v>
      </c>
      <c r="C94" s="10" t="s">
        <v>5</v>
      </c>
      <c r="D94" s="10">
        <v>1</v>
      </c>
      <c r="E94" s="11">
        <v>261.42247868999999</v>
      </c>
      <c r="F94" s="10">
        <v>651</v>
      </c>
      <c r="G94" s="11">
        <v>0.84860036024270313</v>
      </c>
      <c r="H94" s="12">
        <v>0.2069</v>
      </c>
      <c r="I94" s="10">
        <v>2</v>
      </c>
      <c r="J94" s="10">
        <v>3</v>
      </c>
      <c r="K94" s="14">
        <v>14684</v>
      </c>
      <c r="L94" s="14">
        <v>13893</v>
      </c>
      <c r="M94" s="14">
        <v>2409</v>
      </c>
      <c r="N94" s="15">
        <v>58.831899999999997</v>
      </c>
      <c r="O94" s="11">
        <f t="shared" si="1"/>
        <v>249.59248298967057</v>
      </c>
      <c r="P94" s="10">
        <v>1</v>
      </c>
      <c r="Q94" s="16">
        <v>19022</v>
      </c>
      <c r="R94" s="11">
        <v>21580338.569999997</v>
      </c>
      <c r="S94" s="17">
        <v>73.717008797653961</v>
      </c>
      <c r="T94" s="10">
        <v>0</v>
      </c>
      <c r="U94" s="12">
        <v>9.1737208907020237E-2</v>
      </c>
      <c r="V94" s="14">
        <v>1324</v>
      </c>
      <c r="W94" s="11">
        <v>3508.6001999999976</v>
      </c>
      <c r="X94" s="18">
        <v>128</v>
      </c>
    </row>
    <row r="95" spans="1:24" ht="15" customHeight="1" x14ac:dyDescent="0.3">
      <c r="A95" s="9">
        <v>34010</v>
      </c>
      <c r="B95" s="9" t="s">
        <v>103</v>
      </c>
      <c r="C95" s="10" t="s">
        <v>5</v>
      </c>
      <c r="D95" s="10">
        <v>3</v>
      </c>
      <c r="E95" s="11">
        <v>67.943065367000003</v>
      </c>
      <c r="F95" s="10">
        <v>634</v>
      </c>
      <c r="G95" s="11">
        <v>0.86672938797360555</v>
      </c>
      <c r="H95" s="12">
        <v>0</v>
      </c>
      <c r="I95" s="10">
        <v>1</v>
      </c>
      <c r="J95" s="13">
        <v>0</v>
      </c>
      <c r="K95" s="14">
        <v>8941</v>
      </c>
      <c r="L95" s="14">
        <v>8920</v>
      </c>
      <c r="M95" s="14">
        <v>1323</v>
      </c>
      <c r="N95" s="15">
        <v>48.409399999999998</v>
      </c>
      <c r="O95" s="11">
        <f t="shared" si="1"/>
        <v>184.69553433837231</v>
      </c>
      <c r="P95" s="10">
        <v>5</v>
      </c>
      <c r="Q95" s="16">
        <v>16624</v>
      </c>
      <c r="R95" s="11">
        <v>8956365.4100000039</v>
      </c>
      <c r="S95" s="17">
        <v>65.056998100063339</v>
      </c>
      <c r="T95" s="10">
        <v>0</v>
      </c>
      <c r="U95" s="12">
        <v>8.1334435034083871E-2</v>
      </c>
      <c r="V95" s="14">
        <v>614</v>
      </c>
      <c r="W95" s="11">
        <v>3280.4942000000019</v>
      </c>
      <c r="X95" s="18">
        <v>149</v>
      </c>
    </row>
    <row r="96" spans="1:24" ht="15" customHeight="1" x14ac:dyDescent="0.3">
      <c r="A96" s="9">
        <v>38006</v>
      </c>
      <c r="B96" s="9" t="s">
        <v>104</v>
      </c>
      <c r="C96" s="10" t="s">
        <v>17</v>
      </c>
      <c r="D96" s="10">
        <v>4</v>
      </c>
      <c r="E96" s="11">
        <v>145.82728761499999</v>
      </c>
      <c r="F96" s="10">
        <v>645</v>
      </c>
      <c r="G96" s="11">
        <v>0.53906933106587795</v>
      </c>
      <c r="H96" s="12">
        <v>0.23100000000000001</v>
      </c>
      <c r="I96" s="10">
        <v>0</v>
      </c>
      <c r="J96" s="13">
        <v>0</v>
      </c>
      <c r="K96" s="14">
        <v>22017</v>
      </c>
      <c r="L96" s="14">
        <v>22648</v>
      </c>
      <c r="M96" s="14">
        <v>4741</v>
      </c>
      <c r="N96" s="15">
        <v>284.12670000000003</v>
      </c>
      <c r="O96" s="11">
        <f t="shared" si="1"/>
        <v>77.490077490077482</v>
      </c>
      <c r="P96" s="10">
        <v>14.000000000000002</v>
      </c>
      <c r="Q96" s="16">
        <v>12707</v>
      </c>
      <c r="R96" s="11">
        <v>33975287.520000003</v>
      </c>
      <c r="S96" s="17">
        <v>56.991571212448669</v>
      </c>
      <c r="T96" s="10">
        <v>0</v>
      </c>
      <c r="U96" s="12">
        <v>1.5082884595079716E-2</v>
      </c>
      <c r="V96" s="14">
        <v>2201</v>
      </c>
      <c r="W96" s="11">
        <v>14971.321099999997</v>
      </c>
      <c r="X96" s="18">
        <v>293</v>
      </c>
    </row>
    <row r="97" spans="1:24" ht="15" customHeight="1" x14ac:dyDescent="0.3">
      <c r="A97" s="9">
        <v>34011</v>
      </c>
      <c r="B97" s="9" t="s">
        <v>105</v>
      </c>
      <c r="C97" s="10" t="s">
        <v>5</v>
      </c>
      <c r="D97" s="10">
        <v>2</v>
      </c>
      <c r="E97" s="11">
        <v>-8.7322892150000015</v>
      </c>
      <c r="F97" s="10">
        <v>718</v>
      </c>
      <c r="G97" s="11">
        <v>0.31429906856208972</v>
      </c>
      <c r="H97" s="12">
        <v>0</v>
      </c>
      <c r="I97" s="10">
        <v>0</v>
      </c>
      <c r="J97" s="13">
        <v>0</v>
      </c>
      <c r="K97" s="14">
        <v>1058</v>
      </c>
      <c r="L97" s="14">
        <v>1122</v>
      </c>
      <c r="M97" s="14">
        <v>247</v>
      </c>
      <c r="N97" s="15">
        <v>37.532600000000002</v>
      </c>
      <c r="O97" s="11">
        <f t="shared" si="1"/>
        <v>28.188827845659507</v>
      </c>
      <c r="P97" s="10">
        <v>62</v>
      </c>
      <c r="Q97" s="16">
        <v>12250</v>
      </c>
      <c r="R97" s="11">
        <v>1764123.4800000007</v>
      </c>
      <c r="S97" s="17">
        <v>69.0223792697291</v>
      </c>
      <c r="T97" s="10">
        <v>1</v>
      </c>
      <c r="U97" s="12">
        <v>0.79348254729549683</v>
      </c>
      <c r="V97" s="14">
        <v>107</v>
      </c>
      <c r="W97" s="11">
        <v>1254.1212000000003</v>
      </c>
      <c r="X97" s="18">
        <v>39</v>
      </c>
    </row>
    <row r="98" spans="1:24" ht="15" customHeight="1" x14ac:dyDescent="0.3">
      <c r="A98" s="9">
        <v>36010</v>
      </c>
      <c r="B98" s="9" t="s">
        <v>106</v>
      </c>
      <c r="C98" s="10" t="s">
        <v>27</v>
      </c>
      <c r="D98" s="10">
        <v>1</v>
      </c>
      <c r="E98" s="11">
        <v>50.586862242000002</v>
      </c>
      <c r="F98" s="10">
        <v>646</v>
      </c>
      <c r="G98" s="11">
        <v>0.90683203154843306</v>
      </c>
      <c r="H98" s="12">
        <v>0</v>
      </c>
      <c r="I98" s="10">
        <v>0</v>
      </c>
      <c r="J98" s="10">
        <v>1</v>
      </c>
      <c r="K98" s="14">
        <v>8227</v>
      </c>
      <c r="L98" s="14">
        <v>8968</v>
      </c>
      <c r="M98" s="14">
        <v>1580</v>
      </c>
      <c r="N98" s="15">
        <v>40.967399999999998</v>
      </c>
      <c r="O98" s="11">
        <f t="shared" si="1"/>
        <v>200.81821155357676</v>
      </c>
      <c r="P98" s="10">
        <v>36</v>
      </c>
      <c r="Q98" s="16">
        <v>14418</v>
      </c>
      <c r="R98" s="11">
        <v>8965583.4000000004</v>
      </c>
      <c r="S98" s="17">
        <v>71.913072110635497</v>
      </c>
      <c r="T98" s="10">
        <v>0</v>
      </c>
      <c r="U98" s="12">
        <v>2.9228703929704662E-2</v>
      </c>
      <c r="V98" s="14">
        <v>650</v>
      </c>
      <c r="W98" s="11">
        <v>2435.8438000000001</v>
      </c>
      <c r="X98" s="18">
        <v>342</v>
      </c>
    </row>
    <row r="99" spans="1:24" ht="15" customHeight="1" x14ac:dyDescent="0.3">
      <c r="A99" s="9">
        <v>39008</v>
      </c>
      <c r="B99" s="9" t="s">
        <v>107</v>
      </c>
      <c r="C99" s="10" t="s">
        <v>9</v>
      </c>
      <c r="D99" s="10">
        <v>2</v>
      </c>
      <c r="E99" s="11">
        <v>53.51202121</v>
      </c>
      <c r="F99" s="10">
        <v>687</v>
      </c>
      <c r="G99" s="11">
        <v>0.80834552993478292</v>
      </c>
      <c r="H99" s="12">
        <v>1E-4</v>
      </c>
      <c r="I99" s="10">
        <v>3</v>
      </c>
      <c r="J99" s="13">
        <v>0</v>
      </c>
      <c r="K99" s="14">
        <v>9541</v>
      </c>
      <c r="L99" s="25">
        <v>9837</v>
      </c>
      <c r="M99" s="14">
        <v>1947</v>
      </c>
      <c r="N99" s="15">
        <v>60.200299999999999</v>
      </c>
      <c r="O99" s="11">
        <f t="shared" si="1"/>
        <v>158.4875822877959</v>
      </c>
      <c r="P99" s="10">
        <v>10</v>
      </c>
      <c r="Q99" s="16">
        <v>14668</v>
      </c>
      <c r="R99" s="11">
        <v>9111483.2399999984</v>
      </c>
      <c r="S99" s="17">
        <v>69.036564132327342</v>
      </c>
      <c r="T99" s="10">
        <v>0</v>
      </c>
      <c r="U99" s="12">
        <v>1.9021594684385381E-2</v>
      </c>
      <c r="V99" s="14">
        <v>616</v>
      </c>
      <c r="W99" s="11">
        <v>5463.7331999999997</v>
      </c>
      <c r="X99" s="18">
        <v>215</v>
      </c>
    </row>
    <row r="100" spans="1:24" ht="15" customHeight="1" x14ac:dyDescent="0.3">
      <c r="A100" s="9">
        <v>38007</v>
      </c>
      <c r="B100" s="9" t="s">
        <v>108</v>
      </c>
      <c r="C100" s="10" t="s">
        <v>17</v>
      </c>
      <c r="D100" s="10">
        <v>1</v>
      </c>
      <c r="E100" s="11">
        <v>62.684823041000001</v>
      </c>
      <c r="F100" s="10">
        <v>657</v>
      </c>
      <c r="G100" s="11">
        <v>0.76094822741594204</v>
      </c>
      <c r="H100" s="12">
        <v>0</v>
      </c>
      <c r="I100" s="10">
        <v>0</v>
      </c>
      <c r="J100" s="10">
        <v>1</v>
      </c>
      <c r="K100" s="14">
        <v>15673</v>
      </c>
      <c r="L100" s="14">
        <v>17017</v>
      </c>
      <c r="M100" s="14">
        <v>4067</v>
      </c>
      <c r="N100" s="15">
        <v>157.00649999999999</v>
      </c>
      <c r="O100" s="11">
        <f t="shared" si="1"/>
        <v>99.823892641387459</v>
      </c>
      <c r="P100" s="10">
        <v>19</v>
      </c>
      <c r="Q100" s="16">
        <v>15210</v>
      </c>
      <c r="R100" s="11">
        <v>13122438.500000007</v>
      </c>
      <c r="S100" s="17">
        <v>69.283018867924525</v>
      </c>
      <c r="T100" s="10">
        <v>0</v>
      </c>
      <c r="U100" s="12">
        <v>3.9997452391567423E-4</v>
      </c>
      <c r="V100" s="14">
        <v>938</v>
      </c>
      <c r="W100" s="11">
        <v>14005.51449999999</v>
      </c>
      <c r="X100" s="18">
        <v>677</v>
      </c>
    </row>
    <row r="101" spans="1:24" ht="15" customHeight="1" x14ac:dyDescent="0.3">
      <c r="A101" s="9">
        <v>99003</v>
      </c>
      <c r="B101" s="9" t="s">
        <v>109</v>
      </c>
      <c r="C101" s="10" t="s">
        <v>30</v>
      </c>
      <c r="D101" s="10">
        <v>10</v>
      </c>
      <c r="E101" s="11">
        <v>135.45555788799999</v>
      </c>
      <c r="F101" s="10">
        <v>684</v>
      </c>
      <c r="G101" s="11">
        <v>0.85325684314851069</v>
      </c>
      <c r="H101" s="12">
        <v>0</v>
      </c>
      <c r="I101" s="10">
        <v>0</v>
      </c>
      <c r="J101" s="13">
        <v>0</v>
      </c>
      <c r="K101" s="14">
        <v>10418</v>
      </c>
      <c r="L101" s="14">
        <v>10028</v>
      </c>
      <c r="M101" s="14">
        <v>1639</v>
      </c>
      <c r="N101" s="15">
        <v>46.767299999999999</v>
      </c>
      <c r="O101" s="11">
        <f t="shared" si="1"/>
        <v>222.76248575393493</v>
      </c>
      <c r="P101" s="10">
        <v>24</v>
      </c>
      <c r="Q101" s="16">
        <v>12875</v>
      </c>
      <c r="R101" s="11">
        <v>11561105.280000003</v>
      </c>
      <c r="S101" s="17">
        <v>74.14425427872861</v>
      </c>
      <c r="T101" s="10">
        <v>0</v>
      </c>
      <c r="U101" s="12">
        <v>6.8330126149240958E-2</v>
      </c>
      <c r="V101" s="14">
        <v>996</v>
      </c>
      <c r="W101" s="11">
        <v>3092.9819999999986</v>
      </c>
      <c r="X101" s="18">
        <v>428</v>
      </c>
    </row>
    <row r="102" spans="1:24" ht="15" customHeight="1" x14ac:dyDescent="0.3">
      <c r="A102" s="9">
        <v>34012</v>
      </c>
      <c r="B102" s="9" t="s">
        <v>110</v>
      </c>
      <c r="C102" s="10" t="s">
        <v>5</v>
      </c>
      <c r="D102" s="10">
        <v>1</v>
      </c>
      <c r="E102" s="11">
        <v>-70.682164607999994</v>
      </c>
      <c r="F102" s="10">
        <v>713</v>
      </c>
      <c r="G102" s="11">
        <v>0.50284038971011069</v>
      </c>
      <c r="H102" s="12">
        <v>0.21359999999999998</v>
      </c>
      <c r="I102" s="10">
        <v>0</v>
      </c>
      <c r="J102" s="13">
        <v>0</v>
      </c>
      <c r="K102" s="14">
        <v>1755</v>
      </c>
      <c r="L102" s="14">
        <v>1997</v>
      </c>
      <c r="M102" s="14">
        <v>465</v>
      </c>
      <c r="N102" s="15">
        <v>165.69990000000001</v>
      </c>
      <c r="O102" s="11">
        <f t="shared" si="1"/>
        <v>10.591436687650384</v>
      </c>
      <c r="P102" s="10">
        <v>100</v>
      </c>
      <c r="Q102" s="16">
        <v>16367</v>
      </c>
      <c r="R102" s="11">
        <v>2916100.4899999993</v>
      </c>
      <c r="S102" s="17">
        <v>64.572192513368989</v>
      </c>
      <c r="T102" s="10">
        <v>1</v>
      </c>
      <c r="U102" s="12">
        <v>0.72550331925165967</v>
      </c>
      <c r="V102" s="14">
        <v>154</v>
      </c>
      <c r="W102" s="11">
        <v>3760.6379999999999</v>
      </c>
      <c r="X102" s="18">
        <v>117</v>
      </c>
    </row>
    <row r="103" spans="1:24" ht="15" customHeight="1" x14ac:dyDescent="0.3">
      <c r="A103" s="9">
        <v>35020</v>
      </c>
      <c r="B103" s="9" t="s">
        <v>111</v>
      </c>
      <c r="C103" s="10" t="s">
        <v>7</v>
      </c>
      <c r="D103" s="10">
        <v>3</v>
      </c>
      <c r="E103" s="11">
        <v>215.52608379</v>
      </c>
      <c r="F103" s="10">
        <v>626</v>
      </c>
      <c r="G103" s="11">
        <v>0.90498809708001937</v>
      </c>
      <c r="H103" s="12">
        <v>0</v>
      </c>
      <c r="I103" s="10">
        <v>0</v>
      </c>
      <c r="J103" s="10">
        <v>1</v>
      </c>
      <c r="K103" s="14">
        <v>25074</v>
      </c>
      <c r="L103" s="14">
        <v>24825</v>
      </c>
      <c r="M103" s="14">
        <v>4142</v>
      </c>
      <c r="N103" s="15">
        <v>77.510499999999993</v>
      </c>
      <c r="O103" s="11">
        <f t="shared" si="1"/>
        <v>323.4916559691913</v>
      </c>
      <c r="P103" s="10">
        <v>12</v>
      </c>
      <c r="Q103" s="16">
        <v>17359</v>
      </c>
      <c r="R103" s="11">
        <v>28604152.489999998</v>
      </c>
      <c r="S103" s="17">
        <v>76.584998925424458</v>
      </c>
      <c r="T103" s="10">
        <v>0</v>
      </c>
      <c r="U103" s="12">
        <v>9.6348858211843628E-3</v>
      </c>
      <c r="V103" s="14">
        <v>1977</v>
      </c>
      <c r="W103" s="11">
        <v>5646.276499999999</v>
      </c>
      <c r="X103" s="18">
        <v>611</v>
      </c>
    </row>
    <row r="104" spans="1:24" ht="15" customHeight="1" x14ac:dyDescent="0.3">
      <c r="A104" s="9">
        <v>33017</v>
      </c>
      <c r="B104" s="9" t="s">
        <v>112</v>
      </c>
      <c r="C104" s="10" t="s">
        <v>3</v>
      </c>
      <c r="D104" s="10">
        <v>0</v>
      </c>
      <c r="E104" s="11">
        <v>-18.916740190000002</v>
      </c>
      <c r="F104" s="10">
        <v>738</v>
      </c>
      <c r="G104" s="11">
        <v>0.16833030852994554</v>
      </c>
      <c r="H104" s="12">
        <v>0</v>
      </c>
      <c r="I104" s="10">
        <v>0</v>
      </c>
      <c r="J104" s="13">
        <v>0</v>
      </c>
      <c r="K104" s="14">
        <v>517</v>
      </c>
      <c r="L104" s="14">
        <v>671</v>
      </c>
      <c r="M104" s="14">
        <v>153</v>
      </c>
      <c r="N104" s="15">
        <v>46.3125</v>
      </c>
      <c r="O104" s="11">
        <f t="shared" si="1"/>
        <v>11.163292847503374</v>
      </c>
      <c r="P104" s="10">
        <v>100</v>
      </c>
      <c r="Q104" s="16">
        <v>13146</v>
      </c>
      <c r="R104" s="11">
        <v>1272010.2299999991</v>
      </c>
      <c r="S104" s="17">
        <v>67.526881720430111</v>
      </c>
      <c r="T104" s="10">
        <v>1</v>
      </c>
      <c r="U104" s="12">
        <v>0.73385877780177067</v>
      </c>
      <c r="V104" s="14">
        <v>42</v>
      </c>
      <c r="W104" s="11">
        <v>1354.4656000000011</v>
      </c>
      <c r="X104" s="18">
        <v>56</v>
      </c>
    </row>
    <row r="105" spans="1:24" ht="15" customHeight="1" x14ac:dyDescent="0.3">
      <c r="A105" s="9">
        <v>33018</v>
      </c>
      <c r="B105" s="9" t="s">
        <v>113</v>
      </c>
      <c r="C105" s="10" t="s">
        <v>3</v>
      </c>
      <c r="D105" s="10">
        <v>0</v>
      </c>
      <c r="E105" s="11">
        <v>77.35081529</v>
      </c>
      <c r="F105" s="10">
        <v>612</v>
      </c>
      <c r="G105" s="11">
        <v>0.84371096293714631</v>
      </c>
      <c r="H105" s="12">
        <v>0</v>
      </c>
      <c r="I105" s="10">
        <v>0</v>
      </c>
      <c r="J105" s="13">
        <v>0</v>
      </c>
      <c r="K105" s="14">
        <v>4628</v>
      </c>
      <c r="L105" s="14">
        <v>4456</v>
      </c>
      <c r="M105" s="14">
        <v>826</v>
      </c>
      <c r="N105" s="15">
        <v>36.4724</v>
      </c>
      <c r="O105" s="11">
        <f t="shared" si="1"/>
        <v>126.89047060242814</v>
      </c>
      <c r="P105" s="10">
        <v>6</v>
      </c>
      <c r="Q105" s="16">
        <v>15129</v>
      </c>
      <c r="R105" s="11">
        <v>3922738.4299999997</v>
      </c>
      <c r="S105" s="17">
        <v>68.148375229920305</v>
      </c>
      <c r="T105" s="10">
        <v>1</v>
      </c>
      <c r="U105" s="12">
        <v>1.4639429668220457E-2</v>
      </c>
      <c r="V105" s="14">
        <v>368</v>
      </c>
      <c r="W105" s="11">
        <v>3159.2440999999999</v>
      </c>
      <c r="X105" s="18">
        <v>97</v>
      </c>
    </row>
    <row r="106" spans="1:24" ht="15" customHeight="1" x14ac:dyDescent="0.3">
      <c r="A106" s="9">
        <v>39009</v>
      </c>
      <c r="B106" s="9" t="s">
        <v>114</v>
      </c>
      <c r="C106" s="10" t="s">
        <v>9</v>
      </c>
      <c r="D106" s="10">
        <v>3</v>
      </c>
      <c r="E106" s="11">
        <v>52.961431866000005</v>
      </c>
      <c r="F106" s="10">
        <v>685</v>
      </c>
      <c r="G106" s="11">
        <v>0.75859537442098735</v>
      </c>
      <c r="H106" s="12">
        <v>0</v>
      </c>
      <c r="I106" s="10">
        <v>2</v>
      </c>
      <c r="J106" s="10">
        <v>1</v>
      </c>
      <c r="K106" s="14">
        <v>7342</v>
      </c>
      <c r="L106" s="14">
        <v>7384</v>
      </c>
      <c r="M106" s="14">
        <v>1480</v>
      </c>
      <c r="N106" s="15">
        <v>35.139499999999998</v>
      </c>
      <c r="O106" s="11">
        <f t="shared" si="1"/>
        <v>208.93865877431381</v>
      </c>
      <c r="P106" s="10">
        <v>0</v>
      </c>
      <c r="Q106" s="16">
        <v>16593</v>
      </c>
      <c r="R106" s="11">
        <v>9126202.4899999965</v>
      </c>
      <c r="S106" s="17">
        <v>74.240561896400351</v>
      </c>
      <c r="T106" s="10">
        <v>0</v>
      </c>
      <c r="U106" s="12">
        <v>1.1636311895276039E-2</v>
      </c>
      <c r="V106" s="14">
        <v>511</v>
      </c>
      <c r="W106" s="11">
        <v>2656.2376999999992</v>
      </c>
      <c r="X106" s="18">
        <v>309</v>
      </c>
    </row>
    <row r="107" spans="1:24" ht="15" customHeight="1" x14ac:dyDescent="0.3">
      <c r="A107" s="9">
        <v>37024</v>
      </c>
      <c r="B107" s="9" t="s">
        <v>115</v>
      </c>
      <c r="C107" s="10" t="s">
        <v>13</v>
      </c>
      <c r="D107" s="10">
        <v>1</v>
      </c>
      <c r="E107" s="11">
        <v>59.947876458000003</v>
      </c>
      <c r="F107" s="10">
        <v>609</v>
      </c>
      <c r="G107" s="11">
        <v>0.85879949069204586</v>
      </c>
      <c r="H107" s="12">
        <v>0</v>
      </c>
      <c r="I107" s="10">
        <v>1</v>
      </c>
      <c r="J107" s="13">
        <v>0</v>
      </c>
      <c r="K107" s="14">
        <v>13706</v>
      </c>
      <c r="L107" s="14">
        <v>13527</v>
      </c>
      <c r="M107" s="14">
        <v>2305</v>
      </c>
      <c r="N107" s="15">
        <v>102.75409999999999</v>
      </c>
      <c r="O107" s="11">
        <f t="shared" si="1"/>
        <v>133.38640501936177</v>
      </c>
      <c r="P107" s="10">
        <v>14.000000000000002</v>
      </c>
      <c r="Q107" s="16">
        <v>16132</v>
      </c>
      <c r="R107" s="11">
        <v>12380413.479999995</v>
      </c>
      <c r="S107" s="17">
        <v>73.819259865058271</v>
      </c>
      <c r="T107" s="10">
        <v>0</v>
      </c>
      <c r="U107" s="12">
        <v>1.877469586374696E-2</v>
      </c>
      <c r="V107" s="14">
        <v>983</v>
      </c>
      <c r="W107" s="11">
        <v>8871.8352000000014</v>
      </c>
      <c r="X107" s="18">
        <v>361</v>
      </c>
    </row>
    <row r="108" spans="1:24" ht="15" customHeight="1" x14ac:dyDescent="0.3">
      <c r="A108" s="9">
        <v>40011</v>
      </c>
      <c r="B108" s="9" t="s">
        <v>116</v>
      </c>
      <c r="C108" s="10" t="s">
        <v>21</v>
      </c>
      <c r="D108" s="10">
        <v>2</v>
      </c>
      <c r="E108" s="11">
        <v>-1.3926005039999998</v>
      </c>
      <c r="F108" s="10">
        <v>627</v>
      </c>
      <c r="G108" s="11">
        <v>0.84438451430051842</v>
      </c>
      <c r="H108" s="12">
        <v>0</v>
      </c>
      <c r="I108" s="10">
        <v>0</v>
      </c>
      <c r="J108" s="13">
        <v>0</v>
      </c>
      <c r="K108" s="14">
        <v>1573</v>
      </c>
      <c r="L108" s="14">
        <v>1661</v>
      </c>
      <c r="M108" s="14">
        <v>345</v>
      </c>
      <c r="N108" s="15">
        <v>38.970799999999997</v>
      </c>
      <c r="O108" s="11">
        <f t="shared" si="1"/>
        <v>40.363554250875019</v>
      </c>
      <c r="P108" s="10">
        <v>2</v>
      </c>
      <c r="Q108" s="16">
        <v>13224</v>
      </c>
      <c r="R108" s="11">
        <v>2366531.8299999982</v>
      </c>
      <c r="S108" s="17">
        <v>63.175394846217792</v>
      </c>
      <c r="T108" s="10">
        <v>1</v>
      </c>
      <c r="U108" s="12">
        <v>0.58687195278419302</v>
      </c>
      <c r="V108" s="14">
        <v>103</v>
      </c>
      <c r="W108" s="11">
        <v>2395.8454000000002</v>
      </c>
      <c r="X108" s="18">
        <v>76</v>
      </c>
    </row>
    <row r="109" spans="1:24" ht="15" customHeight="1" x14ac:dyDescent="0.3">
      <c r="A109" s="9">
        <v>37025</v>
      </c>
      <c r="B109" s="9" t="s">
        <v>117</v>
      </c>
      <c r="C109" s="10" t="s">
        <v>13</v>
      </c>
      <c r="D109" s="10">
        <v>4</v>
      </c>
      <c r="E109" s="11">
        <v>54.238083070999998</v>
      </c>
      <c r="F109" s="10">
        <v>618</v>
      </c>
      <c r="G109" s="11">
        <v>0.8960449003441292</v>
      </c>
      <c r="H109" s="12">
        <v>0</v>
      </c>
      <c r="I109" s="10">
        <v>0</v>
      </c>
      <c r="J109" s="13">
        <v>0</v>
      </c>
      <c r="K109" s="14">
        <v>6582</v>
      </c>
      <c r="L109" s="14">
        <v>6440</v>
      </c>
      <c r="M109" s="14">
        <v>1128</v>
      </c>
      <c r="N109" s="15">
        <v>24.232099999999999</v>
      </c>
      <c r="O109" s="11">
        <f t="shared" si="1"/>
        <v>271.62317752072664</v>
      </c>
      <c r="P109" s="10">
        <v>22</v>
      </c>
      <c r="Q109" s="16">
        <v>16891</v>
      </c>
      <c r="R109" s="11">
        <v>6998141.6300000027</v>
      </c>
      <c r="S109" s="17">
        <v>71.090800715279158</v>
      </c>
      <c r="T109" s="10">
        <v>0</v>
      </c>
      <c r="U109" s="12">
        <v>5.8699958728848527E-2</v>
      </c>
      <c r="V109" s="14">
        <v>543</v>
      </c>
      <c r="W109" s="11">
        <v>1765.2192000000002</v>
      </c>
      <c r="X109" s="18">
        <v>127</v>
      </c>
    </row>
    <row r="110" spans="1:24" ht="15" customHeight="1" x14ac:dyDescent="0.3">
      <c r="A110" s="9">
        <v>35021</v>
      </c>
      <c r="B110" s="9" t="s">
        <v>118</v>
      </c>
      <c r="C110" s="10" t="s">
        <v>7</v>
      </c>
      <c r="D110" s="10">
        <v>1</v>
      </c>
      <c r="E110" s="11">
        <v>30.648415491999998</v>
      </c>
      <c r="F110" s="10">
        <v>545</v>
      </c>
      <c r="G110" s="11">
        <v>0.82374569603775849</v>
      </c>
      <c r="H110" s="12">
        <v>0</v>
      </c>
      <c r="I110" s="10">
        <v>0</v>
      </c>
      <c r="J110" s="13">
        <v>0</v>
      </c>
      <c r="K110" s="14">
        <v>6652</v>
      </c>
      <c r="L110" s="14">
        <v>6696</v>
      </c>
      <c r="M110" s="14">
        <v>1135</v>
      </c>
      <c r="N110" s="15">
        <v>23.633500000000002</v>
      </c>
      <c r="O110" s="11">
        <f t="shared" si="1"/>
        <v>281.46486978230053</v>
      </c>
      <c r="P110" s="10">
        <v>0</v>
      </c>
      <c r="Q110" s="16">
        <v>15400</v>
      </c>
      <c r="R110" s="11">
        <v>5917097.6100000003</v>
      </c>
      <c r="S110" s="17">
        <v>74.368386957460601</v>
      </c>
      <c r="T110" s="10">
        <v>0</v>
      </c>
      <c r="U110" s="12">
        <v>2.9153618281845112E-2</v>
      </c>
      <c r="V110" s="14">
        <v>335</v>
      </c>
      <c r="W110" s="11">
        <v>1859.7988</v>
      </c>
      <c r="X110" s="18">
        <v>74</v>
      </c>
    </row>
    <row r="111" spans="1:24" ht="15" customHeight="1" x14ac:dyDescent="0.3">
      <c r="A111" s="9">
        <v>39010</v>
      </c>
      <c r="B111" s="9" t="s">
        <v>119</v>
      </c>
      <c r="C111" s="10" t="s">
        <v>9</v>
      </c>
      <c r="D111" s="10">
        <v>24</v>
      </c>
      <c r="E111" s="11">
        <v>329.92982092999995</v>
      </c>
      <c r="F111" s="10">
        <v>649</v>
      </c>
      <c r="G111" s="11">
        <v>0.6041324311214421</v>
      </c>
      <c r="H111" s="12">
        <v>0</v>
      </c>
      <c r="I111" s="10">
        <v>2</v>
      </c>
      <c r="J111" s="10">
        <v>1</v>
      </c>
      <c r="K111" s="14">
        <v>58710</v>
      </c>
      <c r="L111" s="25">
        <v>57748</v>
      </c>
      <c r="M111" s="14">
        <v>11265</v>
      </c>
      <c r="N111" s="15">
        <v>215.75579999999999</v>
      </c>
      <c r="O111" s="11">
        <f t="shared" si="1"/>
        <v>272.11319463949519</v>
      </c>
      <c r="P111" s="10">
        <v>9</v>
      </c>
      <c r="Q111" s="16">
        <v>16718</v>
      </c>
      <c r="R111" s="11">
        <v>84673548.459999993</v>
      </c>
      <c r="S111" s="17">
        <v>73.467572744686677</v>
      </c>
      <c r="T111" s="10">
        <v>0</v>
      </c>
      <c r="U111" s="12">
        <v>3.0894048943270302E-2</v>
      </c>
      <c r="V111" s="14">
        <v>5255</v>
      </c>
      <c r="W111" s="11">
        <v>17435.307600000033</v>
      </c>
      <c r="X111" s="18">
        <v>1416</v>
      </c>
    </row>
    <row r="112" spans="1:24" ht="15" customHeight="1" x14ac:dyDescent="0.3">
      <c r="A112" s="9">
        <v>36011</v>
      </c>
      <c r="B112" s="9" t="s">
        <v>120</v>
      </c>
      <c r="C112" s="10" t="s">
        <v>27</v>
      </c>
      <c r="D112" s="10">
        <v>3</v>
      </c>
      <c r="E112" s="11">
        <v>-43.976342760000001</v>
      </c>
      <c r="F112" s="10">
        <v>663</v>
      </c>
      <c r="G112" s="11">
        <v>0.41042599462158252</v>
      </c>
      <c r="H112" s="12">
        <v>0.34990000000000004</v>
      </c>
      <c r="I112" s="10">
        <v>0</v>
      </c>
      <c r="J112" s="13">
        <v>0</v>
      </c>
      <c r="K112" s="14">
        <v>2943</v>
      </c>
      <c r="L112" s="14">
        <v>3028</v>
      </c>
      <c r="M112" s="14">
        <v>666</v>
      </c>
      <c r="N112" s="15">
        <v>89.908900000000003</v>
      </c>
      <c r="O112" s="11">
        <f t="shared" si="1"/>
        <v>32.733133204832889</v>
      </c>
      <c r="P112" s="10">
        <v>28.999999999999996</v>
      </c>
      <c r="Q112" s="16">
        <v>14415</v>
      </c>
      <c r="R112" s="11">
        <v>6288321.1200000029</v>
      </c>
      <c r="S112" s="17">
        <v>69.592875318066163</v>
      </c>
      <c r="T112" s="10">
        <v>1</v>
      </c>
      <c r="U112" s="12">
        <v>0.6809998887776666</v>
      </c>
      <c r="V112" s="14">
        <v>309</v>
      </c>
      <c r="W112" s="11">
        <v>1868.1699000000006</v>
      </c>
      <c r="X112" s="18">
        <v>128</v>
      </c>
    </row>
    <row r="113" spans="1:24" ht="15" customHeight="1" x14ac:dyDescent="0.3">
      <c r="A113" s="9">
        <v>33019</v>
      </c>
      <c r="B113" s="9" t="s">
        <v>121</v>
      </c>
      <c r="C113" s="10" t="s">
        <v>3</v>
      </c>
      <c r="D113" s="10">
        <v>1</v>
      </c>
      <c r="E113" s="11">
        <v>-37.682224228999999</v>
      </c>
      <c r="F113" s="10">
        <v>703</v>
      </c>
      <c r="G113" s="11">
        <v>0.31575870291769864</v>
      </c>
      <c r="H113" s="12">
        <v>0</v>
      </c>
      <c r="I113" s="10">
        <v>0</v>
      </c>
      <c r="J113" s="13">
        <v>0</v>
      </c>
      <c r="K113" s="14">
        <v>1043</v>
      </c>
      <c r="L113" s="14">
        <v>1455</v>
      </c>
      <c r="M113" s="14">
        <v>388</v>
      </c>
      <c r="N113" s="15">
        <v>112.3566</v>
      </c>
      <c r="O113" s="11">
        <f t="shared" si="1"/>
        <v>9.2829437701034028</v>
      </c>
      <c r="P113" s="10">
        <v>100</v>
      </c>
      <c r="Q113" s="16">
        <v>14480</v>
      </c>
      <c r="R113" s="11">
        <v>2120676.5000000005</v>
      </c>
      <c r="S113" s="17">
        <v>65.113871635610764</v>
      </c>
      <c r="T113" s="10">
        <v>1</v>
      </c>
      <c r="U113" s="12">
        <v>0.67882876468494124</v>
      </c>
      <c r="V113" s="14">
        <v>99</v>
      </c>
      <c r="W113" s="11">
        <v>3532.0348000000008</v>
      </c>
      <c r="X113" s="18">
        <v>203</v>
      </c>
    </row>
    <row r="114" spans="1:24" ht="15" customHeight="1" x14ac:dyDescent="0.3">
      <c r="A114" s="9">
        <v>34013</v>
      </c>
      <c r="B114" s="9" t="s">
        <v>122</v>
      </c>
      <c r="C114" s="10" t="s">
        <v>5</v>
      </c>
      <c r="D114" s="10">
        <v>3</v>
      </c>
      <c r="E114" s="11">
        <v>50.456789290000003</v>
      </c>
      <c r="F114" s="10">
        <v>645</v>
      </c>
      <c r="G114" s="11">
        <v>0.84898410614303221</v>
      </c>
      <c r="H114" s="12">
        <v>0</v>
      </c>
      <c r="I114" s="10">
        <v>0</v>
      </c>
      <c r="J114" s="10">
        <v>2</v>
      </c>
      <c r="K114" s="14">
        <v>9150</v>
      </c>
      <c r="L114" s="14">
        <v>8621</v>
      </c>
      <c r="M114" s="14">
        <v>1523</v>
      </c>
      <c r="N114" s="15">
        <v>38.346400000000003</v>
      </c>
      <c r="O114" s="11">
        <f t="shared" si="1"/>
        <v>238.61431581582625</v>
      </c>
      <c r="P114" s="10">
        <v>44</v>
      </c>
      <c r="Q114" s="16">
        <v>18422</v>
      </c>
      <c r="R114" s="11">
        <v>8119842.8800000027</v>
      </c>
      <c r="S114" s="17">
        <v>71.811093129321762</v>
      </c>
      <c r="T114" s="10">
        <v>0</v>
      </c>
      <c r="U114" s="12">
        <v>0.12416949152542373</v>
      </c>
      <c r="V114" s="14">
        <v>675</v>
      </c>
      <c r="W114" s="11">
        <v>2574.7516999999998</v>
      </c>
      <c r="X114" s="18">
        <v>116</v>
      </c>
    </row>
    <row r="115" spans="1:24" ht="15" customHeight="1" x14ac:dyDescent="0.3">
      <c r="A115" s="9">
        <v>38008</v>
      </c>
      <c r="B115" s="9" t="s">
        <v>17</v>
      </c>
      <c r="C115" s="10" t="s">
        <v>17</v>
      </c>
      <c r="D115" s="10">
        <v>15</v>
      </c>
      <c r="E115" s="11">
        <v>2068.6028345390005</v>
      </c>
      <c r="F115" s="10">
        <v>637</v>
      </c>
      <c r="G115" s="11">
        <v>0.87606082903210158</v>
      </c>
      <c r="H115" s="12">
        <v>0</v>
      </c>
      <c r="I115" s="10">
        <v>3</v>
      </c>
      <c r="J115" s="10">
        <v>4</v>
      </c>
      <c r="K115" s="14">
        <v>129340</v>
      </c>
      <c r="L115" s="14">
        <v>132545</v>
      </c>
      <c r="M115" s="14">
        <v>28313</v>
      </c>
      <c r="N115" s="15">
        <v>405.15499999999997</v>
      </c>
      <c r="O115" s="11">
        <f t="shared" si="1"/>
        <v>319.23584800878677</v>
      </c>
      <c r="P115" s="10">
        <v>4</v>
      </c>
      <c r="Q115" s="16">
        <v>18375</v>
      </c>
      <c r="R115" s="11">
        <v>175303516.52999976</v>
      </c>
      <c r="S115" s="17">
        <v>73.102220998712042</v>
      </c>
      <c r="T115" s="10">
        <v>0</v>
      </c>
      <c r="U115" s="12">
        <v>1.7565159443182939E-2</v>
      </c>
      <c r="V115" s="14">
        <v>11927</v>
      </c>
      <c r="W115" s="11">
        <v>30706.196399999979</v>
      </c>
      <c r="X115" s="18">
        <v>1604</v>
      </c>
    </row>
    <row r="116" spans="1:24" ht="15" customHeight="1" x14ac:dyDescent="0.3">
      <c r="A116" s="9">
        <v>33020</v>
      </c>
      <c r="B116" s="9" t="s">
        <v>123</v>
      </c>
      <c r="C116" s="10" t="s">
        <v>3</v>
      </c>
      <c r="D116" s="10">
        <v>2</v>
      </c>
      <c r="E116" s="11">
        <v>-90.695918392999999</v>
      </c>
      <c r="F116" s="10">
        <v>676</v>
      </c>
      <c r="G116" s="11">
        <v>0.33368853974026563</v>
      </c>
      <c r="H116" s="12">
        <v>0</v>
      </c>
      <c r="I116" s="10">
        <v>0</v>
      </c>
      <c r="J116" s="13">
        <v>0</v>
      </c>
      <c r="K116" s="14">
        <v>1109</v>
      </c>
      <c r="L116" s="14">
        <v>1425</v>
      </c>
      <c r="M116" s="14">
        <v>395</v>
      </c>
      <c r="N116" s="15">
        <v>178.50120000000001</v>
      </c>
      <c r="O116" s="11">
        <f t="shared" si="1"/>
        <v>6.2128433870472577</v>
      </c>
      <c r="P116" s="10">
        <v>100</v>
      </c>
      <c r="Q116" s="16">
        <v>15545</v>
      </c>
      <c r="R116" s="11">
        <v>6079841.7300000004</v>
      </c>
      <c r="S116" s="17">
        <v>65.5</v>
      </c>
      <c r="T116" s="10">
        <v>1</v>
      </c>
      <c r="U116" s="12">
        <v>0.78195966386554627</v>
      </c>
      <c r="V116" s="14">
        <v>90</v>
      </c>
      <c r="W116" s="11">
        <v>2163.7885999999999</v>
      </c>
      <c r="X116" s="18">
        <v>166</v>
      </c>
    </row>
    <row r="117" spans="1:24" ht="15" customHeight="1" x14ac:dyDescent="0.3">
      <c r="A117" s="9">
        <v>34014</v>
      </c>
      <c r="B117" s="9" t="s">
        <v>124</v>
      </c>
      <c r="C117" s="10" t="s">
        <v>5</v>
      </c>
      <c r="D117" s="10">
        <v>6</v>
      </c>
      <c r="E117" s="11">
        <v>302.57892413000002</v>
      </c>
      <c r="F117" s="10">
        <v>593</v>
      </c>
      <c r="G117" s="11">
        <v>0.85011367201079457</v>
      </c>
      <c r="H117" s="12">
        <v>5.2999999999999999E-2</v>
      </c>
      <c r="I117" s="10">
        <v>3</v>
      </c>
      <c r="J117" s="10">
        <v>2</v>
      </c>
      <c r="K117" s="14">
        <v>26945</v>
      </c>
      <c r="L117" s="14">
        <v>25521</v>
      </c>
      <c r="M117" s="14">
        <v>4866</v>
      </c>
      <c r="N117" s="15">
        <v>95.117999999999995</v>
      </c>
      <c r="O117" s="11">
        <f t="shared" si="1"/>
        <v>283.27971572152484</v>
      </c>
      <c r="P117" s="10">
        <v>12</v>
      </c>
      <c r="Q117" s="16">
        <v>17078</v>
      </c>
      <c r="R117" s="11">
        <v>71055675.110000014</v>
      </c>
      <c r="S117" s="17">
        <v>71.654270325724539</v>
      </c>
      <c r="T117" s="10">
        <v>0</v>
      </c>
      <c r="U117" s="12">
        <v>8.3526072329688811E-2</v>
      </c>
      <c r="V117" s="14">
        <v>2334</v>
      </c>
      <c r="W117" s="11">
        <v>7018.2021000000022</v>
      </c>
      <c r="X117" s="18">
        <v>352</v>
      </c>
    </row>
    <row r="118" spans="1:24" ht="15" customHeight="1" x14ac:dyDescent="0.3">
      <c r="A118" s="9">
        <v>36012</v>
      </c>
      <c r="B118" s="9" t="s">
        <v>125</v>
      </c>
      <c r="C118" s="10" t="s">
        <v>27</v>
      </c>
      <c r="D118" s="10">
        <v>1</v>
      </c>
      <c r="E118" s="11">
        <v>287.796236002</v>
      </c>
      <c r="F118" s="10">
        <v>654</v>
      </c>
      <c r="G118" s="11">
        <v>0.89233303528766139</v>
      </c>
      <c r="H118" s="12">
        <v>0</v>
      </c>
      <c r="I118" s="10">
        <v>0</v>
      </c>
      <c r="J118" s="13">
        <v>0</v>
      </c>
      <c r="K118" s="14">
        <v>14951</v>
      </c>
      <c r="L118" s="14">
        <v>15713</v>
      </c>
      <c r="M118" s="14">
        <v>2804</v>
      </c>
      <c r="N118" s="15">
        <v>105.12730000000001</v>
      </c>
      <c r="O118" s="11">
        <f t="shared" si="1"/>
        <v>142.21805373104797</v>
      </c>
      <c r="P118" s="10">
        <v>3</v>
      </c>
      <c r="Q118" s="16">
        <v>15117</v>
      </c>
      <c r="R118" s="11">
        <v>17192194.569999982</v>
      </c>
      <c r="S118" s="17">
        <v>69.574275362318843</v>
      </c>
      <c r="T118" s="10">
        <v>0</v>
      </c>
      <c r="U118" s="12">
        <v>7.5439931513364413E-3</v>
      </c>
      <c r="V118" s="14">
        <v>1226</v>
      </c>
      <c r="W118" s="11">
        <v>8661.5949000000091</v>
      </c>
      <c r="X118" s="18">
        <v>401</v>
      </c>
    </row>
    <row r="119" spans="1:24" ht="15" customHeight="1" x14ac:dyDescent="0.3">
      <c r="A119" s="9">
        <v>36013</v>
      </c>
      <c r="B119" s="9" t="s">
        <v>126</v>
      </c>
      <c r="C119" s="10" t="s">
        <v>27</v>
      </c>
      <c r="D119" s="10">
        <v>3</v>
      </c>
      <c r="E119" s="11">
        <v>838.25314042000002</v>
      </c>
      <c r="F119" s="10">
        <v>716</v>
      </c>
      <c r="G119" s="11">
        <v>0.70201153151715268</v>
      </c>
      <c r="H119" s="12">
        <v>7.8399999999999997E-2</v>
      </c>
      <c r="I119" s="10">
        <v>0</v>
      </c>
      <c r="J119" s="10">
        <v>2</v>
      </c>
      <c r="K119" s="14">
        <v>16850</v>
      </c>
      <c r="L119" s="14">
        <v>16945</v>
      </c>
      <c r="M119" s="14">
        <v>2762</v>
      </c>
      <c r="N119" s="15">
        <v>26.232199999999999</v>
      </c>
      <c r="O119" s="11">
        <f t="shared" si="1"/>
        <v>642.34032982365193</v>
      </c>
      <c r="P119" s="10">
        <v>1</v>
      </c>
      <c r="Q119" s="16">
        <v>17008</v>
      </c>
      <c r="R119" s="11">
        <v>25522280.050000016</v>
      </c>
      <c r="S119" s="17">
        <v>71.651256972568206</v>
      </c>
      <c r="T119" s="10">
        <v>0</v>
      </c>
      <c r="U119" s="12">
        <v>0.14473884864658787</v>
      </c>
      <c r="V119" s="14">
        <v>1639</v>
      </c>
      <c r="W119" s="11">
        <v>786.79049999999995</v>
      </c>
      <c r="X119" s="18">
        <v>81</v>
      </c>
    </row>
    <row r="120" spans="1:24" ht="15" customHeight="1" x14ac:dyDescent="0.3">
      <c r="A120" s="9">
        <v>33021</v>
      </c>
      <c r="B120" s="9" t="s">
        <v>127</v>
      </c>
      <c r="C120" s="10" t="s">
        <v>3</v>
      </c>
      <c r="D120" s="10">
        <v>6</v>
      </c>
      <c r="E120" s="11">
        <v>167.45504564000001</v>
      </c>
      <c r="F120" s="10">
        <v>599</v>
      </c>
      <c r="G120" s="11">
        <v>0.74982464066630883</v>
      </c>
      <c r="H120" s="12">
        <v>0</v>
      </c>
      <c r="I120" s="10">
        <v>1</v>
      </c>
      <c r="J120" s="10">
        <v>2</v>
      </c>
      <c r="K120" s="14">
        <v>14874</v>
      </c>
      <c r="L120" s="14">
        <v>14886</v>
      </c>
      <c r="M120" s="14">
        <v>2714</v>
      </c>
      <c r="N120" s="15">
        <v>59.7699</v>
      </c>
      <c r="O120" s="11">
        <f t="shared" si="1"/>
        <v>248.85435645701264</v>
      </c>
      <c r="P120" s="10">
        <v>4</v>
      </c>
      <c r="Q120" s="16">
        <v>16292</v>
      </c>
      <c r="R120" s="11">
        <v>17954329.670000002</v>
      </c>
      <c r="S120" s="17">
        <v>70.83023082650783</v>
      </c>
      <c r="T120" s="10">
        <v>0</v>
      </c>
      <c r="U120" s="12">
        <v>2.4187719591768443E-2</v>
      </c>
      <c r="V120" s="14">
        <v>1475</v>
      </c>
      <c r="W120" s="11">
        <v>4987.077599999996</v>
      </c>
      <c r="X120" s="18">
        <v>142</v>
      </c>
    </row>
    <row r="121" spans="1:24" ht="15" customHeight="1" x14ac:dyDescent="0.3">
      <c r="A121" s="9">
        <v>38027</v>
      </c>
      <c r="B121" s="27" t="s">
        <v>128</v>
      </c>
      <c r="C121" s="10" t="s">
        <v>17</v>
      </c>
      <c r="D121" s="10">
        <v>2</v>
      </c>
      <c r="E121" s="11">
        <v>48.689426019999999</v>
      </c>
      <c r="F121" s="10">
        <v>674</v>
      </c>
      <c r="G121" s="11">
        <v>0.78631770179357019</v>
      </c>
      <c r="H121" s="12">
        <v>0</v>
      </c>
      <c r="I121" s="10">
        <v>0</v>
      </c>
      <c r="J121" s="13">
        <v>0</v>
      </c>
      <c r="K121" s="14">
        <v>8371</v>
      </c>
      <c r="L121" s="20">
        <v>9519</v>
      </c>
      <c r="M121" s="14">
        <v>1998</v>
      </c>
      <c r="N121" s="21">
        <v>116.1835</v>
      </c>
      <c r="O121" s="11">
        <f t="shared" si="1"/>
        <v>72.049817745204791</v>
      </c>
      <c r="P121" s="22">
        <v>6</v>
      </c>
      <c r="Q121" s="23">
        <v>7288</v>
      </c>
      <c r="R121" s="11">
        <v>9298581.4499999955</v>
      </c>
      <c r="S121" s="17">
        <v>65.391831433107228</v>
      </c>
      <c r="T121" s="10">
        <v>0</v>
      </c>
      <c r="U121" s="12">
        <v>1.2767880196230314E-2</v>
      </c>
      <c r="V121" s="14">
        <v>487</v>
      </c>
      <c r="W121" s="11">
        <v>10565.59760000001</v>
      </c>
      <c r="X121" s="28">
        <v>246</v>
      </c>
    </row>
    <row r="122" spans="1:24" ht="15" customHeight="1" x14ac:dyDescent="0.3">
      <c r="A122" s="9">
        <v>36014</v>
      </c>
      <c r="B122" s="9" t="s">
        <v>129</v>
      </c>
      <c r="C122" s="10" t="s">
        <v>27</v>
      </c>
      <c r="D122" s="10">
        <v>3</v>
      </c>
      <c r="E122" s="11">
        <v>-18.623445815</v>
      </c>
      <c r="F122" s="10">
        <v>715</v>
      </c>
      <c r="G122" s="11">
        <v>0.34168056872694047</v>
      </c>
      <c r="H122" s="12">
        <v>0.33169999999999999</v>
      </c>
      <c r="I122" s="10">
        <v>0</v>
      </c>
      <c r="J122" s="13">
        <v>0</v>
      </c>
      <c r="K122" s="14">
        <v>1175</v>
      </c>
      <c r="L122" s="14">
        <v>1304</v>
      </c>
      <c r="M122" s="14">
        <v>272</v>
      </c>
      <c r="N122" s="15">
        <v>39.141100000000002</v>
      </c>
      <c r="O122" s="11">
        <f t="shared" si="1"/>
        <v>30.019595770175084</v>
      </c>
      <c r="P122" s="10">
        <v>6</v>
      </c>
      <c r="Q122" s="16">
        <v>12922</v>
      </c>
      <c r="R122" s="11">
        <v>2816985.0699999994</v>
      </c>
      <c r="S122" s="17">
        <v>72.064777327935232</v>
      </c>
      <c r="T122" s="10">
        <v>1</v>
      </c>
      <c r="U122" s="12">
        <v>0.67570771589167089</v>
      </c>
      <c r="V122" s="14">
        <v>144</v>
      </c>
      <c r="W122" s="11">
        <v>926.62819999999999</v>
      </c>
      <c r="X122" s="18">
        <v>79</v>
      </c>
    </row>
    <row r="123" spans="1:24" ht="15" customHeight="1" x14ac:dyDescent="0.3">
      <c r="A123" s="9">
        <v>37026</v>
      </c>
      <c r="B123" s="9" t="s">
        <v>130</v>
      </c>
      <c r="C123" s="10" t="s">
        <v>13</v>
      </c>
      <c r="D123" s="10">
        <v>2</v>
      </c>
      <c r="E123" s="11">
        <v>-3.221394278</v>
      </c>
      <c r="F123" s="10">
        <v>669</v>
      </c>
      <c r="G123" s="11">
        <v>0.48672055637482475</v>
      </c>
      <c r="H123" s="12">
        <v>3.5200000000000002E-2</v>
      </c>
      <c r="I123" s="10">
        <v>0</v>
      </c>
      <c r="J123" s="13">
        <v>0</v>
      </c>
      <c r="K123" s="14">
        <v>1913</v>
      </c>
      <c r="L123" s="14">
        <v>1927</v>
      </c>
      <c r="M123" s="14">
        <v>370</v>
      </c>
      <c r="N123" s="15">
        <v>36.5578</v>
      </c>
      <c r="O123" s="11">
        <f t="shared" si="1"/>
        <v>52.328094141332357</v>
      </c>
      <c r="P123" s="10">
        <v>6</v>
      </c>
      <c r="Q123" s="16">
        <v>14935</v>
      </c>
      <c r="R123" s="11">
        <v>1613857.7599999993</v>
      </c>
      <c r="S123" s="17">
        <v>76.183939601921765</v>
      </c>
      <c r="T123" s="10">
        <v>1</v>
      </c>
      <c r="U123" s="12">
        <v>0.46652625820568927</v>
      </c>
      <c r="V123" s="14">
        <v>128</v>
      </c>
      <c r="W123" s="11">
        <v>2757.2200000000016</v>
      </c>
      <c r="X123" s="18">
        <v>93</v>
      </c>
    </row>
    <row r="124" spans="1:24" ht="15" customHeight="1" x14ac:dyDescent="0.3">
      <c r="A124" s="9">
        <v>34015</v>
      </c>
      <c r="B124" s="9" t="s">
        <v>131</v>
      </c>
      <c r="C124" s="10" t="s">
        <v>5</v>
      </c>
      <c r="D124" s="10">
        <v>2</v>
      </c>
      <c r="E124" s="11">
        <v>217.65253754999998</v>
      </c>
      <c r="F124" s="10">
        <v>652</v>
      </c>
      <c r="G124" s="11">
        <v>0.82377968093433507</v>
      </c>
      <c r="H124" s="12">
        <v>0</v>
      </c>
      <c r="I124" s="10">
        <v>0</v>
      </c>
      <c r="J124" s="13">
        <v>0</v>
      </c>
      <c r="K124" s="14">
        <v>7053</v>
      </c>
      <c r="L124" s="14">
        <v>6963</v>
      </c>
      <c r="M124" s="14">
        <v>1256</v>
      </c>
      <c r="N124" s="15">
        <v>53.976199999999999</v>
      </c>
      <c r="O124" s="11">
        <f t="shared" si="1"/>
        <v>130.66870213168025</v>
      </c>
      <c r="P124" s="10">
        <v>27</v>
      </c>
      <c r="Q124" s="16">
        <v>16610</v>
      </c>
      <c r="R124" s="11">
        <v>10126228.260000002</v>
      </c>
      <c r="S124" s="17">
        <v>70.408950617283949</v>
      </c>
      <c r="T124" s="10">
        <v>0</v>
      </c>
      <c r="U124" s="12">
        <v>7.1896998888477219E-3</v>
      </c>
      <c r="V124" s="14">
        <v>557</v>
      </c>
      <c r="W124" s="11">
        <v>4349.4509999999964</v>
      </c>
      <c r="X124" s="18">
        <v>229</v>
      </c>
    </row>
    <row r="125" spans="1:24" ht="15" customHeight="1" x14ac:dyDescent="0.3">
      <c r="A125" s="9">
        <v>34016</v>
      </c>
      <c r="B125" s="9" t="s">
        <v>132</v>
      </c>
      <c r="C125" s="10" t="s">
        <v>5</v>
      </c>
      <c r="D125" s="10">
        <v>0</v>
      </c>
      <c r="E125" s="11">
        <v>83.124333769999993</v>
      </c>
      <c r="F125" s="10">
        <v>678</v>
      </c>
      <c r="G125" s="11">
        <v>0.85796797820497428</v>
      </c>
      <c r="H125" s="12">
        <v>1E-4</v>
      </c>
      <c r="I125" s="10">
        <v>1</v>
      </c>
      <c r="J125" s="13">
        <v>0</v>
      </c>
      <c r="K125" s="14">
        <v>5527</v>
      </c>
      <c r="L125" s="14">
        <v>5428</v>
      </c>
      <c r="M125" s="14">
        <v>876</v>
      </c>
      <c r="N125" s="15">
        <v>26.004899999999999</v>
      </c>
      <c r="O125" s="11">
        <f t="shared" si="1"/>
        <v>212.53686805179024</v>
      </c>
      <c r="P125" s="10">
        <v>0</v>
      </c>
      <c r="Q125" s="16">
        <v>16521</v>
      </c>
      <c r="R125" s="11">
        <v>6698009.1500000022</v>
      </c>
      <c r="S125" s="17">
        <v>72.599358183164654</v>
      </c>
      <c r="T125" s="10">
        <v>0</v>
      </c>
      <c r="U125" s="12">
        <v>1.8842307692307693E-2</v>
      </c>
      <c r="V125" s="14">
        <v>579</v>
      </c>
      <c r="W125" s="11">
        <v>1647.8660000000004</v>
      </c>
      <c r="X125" s="18">
        <v>85</v>
      </c>
    </row>
    <row r="126" spans="1:24" ht="15" customHeight="1" x14ac:dyDescent="0.3">
      <c r="A126" s="9">
        <v>40012</v>
      </c>
      <c r="B126" s="9" t="s">
        <v>133</v>
      </c>
      <c r="C126" s="10" t="s">
        <v>21</v>
      </c>
      <c r="D126" s="10">
        <v>20</v>
      </c>
      <c r="E126" s="11">
        <v>664.56409332999999</v>
      </c>
      <c r="F126" s="10">
        <v>633</v>
      </c>
      <c r="G126" s="11">
        <v>0.81706720675411137</v>
      </c>
      <c r="H126" s="12">
        <v>0</v>
      </c>
      <c r="I126" s="10">
        <v>1</v>
      </c>
      <c r="J126" s="10">
        <v>8</v>
      </c>
      <c r="K126" s="14">
        <v>116440</v>
      </c>
      <c r="L126" s="14">
        <v>116434</v>
      </c>
      <c r="M126" s="14">
        <v>23041</v>
      </c>
      <c r="N126" s="15">
        <v>228.20079999999999</v>
      </c>
      <c r="O126" s="11">
        <f t="shared" si="1"/>
        <v>510.25237422480558</v>
      </c>
      <c r="P126" s="10">
        <v>4</v>
      </c>
      <c r="Q126" s="16">
        <v>16758</v>
      </c>
      <c r="R126" s="11">
        <v>145437928.62999988</v>
      </c>
      <c r="S126" s="17">
        <v>71.242010392238015</v>
      </c>
      <c r="T126" s="10">
        <v>0</v>
      </c>
      <c r="U126" s="12">
        <v>2.5698948290972835E-2</v>
      </c>
      <c r="V126" s="14">
        <v>11284</v>
      </c>
      <c r="W126" s="11">
        <v>14976.046800000006</v>
      </c>
      <c r="X126" s="18">
        <v>1913</v>
      </c>
    </row>
    <row r="127" spans="1:24" ht="15" customHeight="1" x14ac:dyDescent="0.3">
      <c r="A127" s="9">
        <v>40013</v>
      </c>
      <c r="B127" s="9" t="s">
        <v>134</v>
      </c>
      <c r="C127" s="10" t="s">
        <v>21</v>
      </c>
      <c r="D127" s="10">
        <v>0</v>
      </c>
      <c r="E127" s="11">
        <v>47.680227180999999</v>
      </c>
      <c r="F127" s="10">
        <v>637</v>
      </c>
      <c r="G127" s="11">
        <v>0.86256900534005054</v>
      </c>
      <c r="H127" s="12">
        <v>0</v>
      </c>
      <c r="I127" s="10">
        <v>1</v>
      </c>
      <c r="J127" s="10">
        <v>1</v>
      </c>
      <c r="K127" s="14">
        <v>13047</v>
      </c>
      <c r="L127" s="14">
        <v>12982</v>
      </c>
      <c r="M127" s="14">
        <v>2485</v>
      </c>
      <c r="N127" s="15">
        <v>24.459199999999999</v>
      </c>
      <c r="O127" s="11">
        <f t="shared" si="1"/>
        <v>533.41891803493161</v>
      </c>
      <c r="P127" s="10">
        <v>0</v>
      </c>
      <c r="Q127" s="16">
        <v>15173</v>
      </c>
      <c r="R127" s="11">
        <v>10774229.389999997</v>
      </c>
      <c r="S127" s="17">
        <v>72.009233239662791</v>
      </c>
      <c r="T127" s="10">
        <v>0</v>
      </c>
      <c r="U127" s="12">
        <v>2.9701553556827475E-2</v>
      </c>
      <c r="V127" s="14">
        <v>969</v>
      </c>
      <c r="W127" s="11">
        <v>1354.4966000000018</v>
      </c>
      <c r="X127" s="18">
        <v>204</v>
      </c>
    </row>
    <row r="128" spans="1:24" ht="15" customHeight="1" x14ac:dyDescent="0.3">
      <c r="A128" s="9">
        <v>36015</v>
      </c>
      <c r="B128" s="9" t="s">
        <v>135</v>
      </c>
      <c r="C128" s="10" t="s">
        <v>27</v>
      </c>
      <c r="D128" s="10">
        <v>5</v>
      </c>
      <c r="E128" s="11">
        <v>173.32591571999998</v>
      </c>
      <c r="F128" s="10">
        <v>672</v>
      </c>
      <c r="G128" s="11">
        <v>0.68706747366329013</v>
      </c>
      <c r="H128" s="12">
        <v>0</v>
      </c>
      <c r="I128" s="10">
        <v>0</v>
      </c>
      <c r="J128" s="10">
        <v>1</v>
      </c>
      <c r="K128" s="14">
        <v>34467</v>
      </c>
      <c r="L128" s="14">
        <v>33667</v>
      </c>
      <c r="M128" s="14">
        <v>5546</v>
      </c>
      <c r="N128" s="15">
        <v>46.741399999999999</v>
      </c>
      <c r="O128" s="11">
        <f t="shared" si="1"/>
        <v>737.39768171257174</v>
      </c>
      <c r="P128" s="10">
        <v>0</v>
      </c>
      <c r="Q128" s="16">
        <v>18565</v>
      </c>
      <c r="R128" s="11">
        <v>36336965.01000002</v>
      </c>
      <c r="S128" s="17">
        <v>75.712800712800714</v>
      </c>
      <c r="T128" s="10">
        <v>0</v>
      </c>
      <c r="U128" s="12">
        <v>1.3923833975181855E-2</v>
      </c>
      <c r="V128" s="14">
        <v>2794</v>
      </c>
      <c r="W128" s="11">
        <v>2956.0853000000029</v>
      </c>
      <c r="X128" s="18">
        <v>243</v>
      </c>
    </row>
    <row r="129" spans="1:24" ht="15" customHeight="1" x14ac:dyDescent="0.3">
      <c r="A129" s="9">
        <v>34017</v>
      </c>
      <c r="B129" s="26" t="s">
        <v>136</v>
      </c>
      <c r="C129" s="10" t="s">
        <v>5</v>
      </c>
      <c r="D129" s="10">
        <v>2</v>
      </c>
      <c r="E129" s="11">
        <v>29.596309091000002</v>
      </c>
      <c r="F129" s="10">
        <v>682</v>
      </c>
      <c r="G129" s="11">
        <v>0.69386986918415372</v>
      </c>
      <c r="H129" s="12">
        <v>6.6500000000000004E-2</v>
      </c>
      <c r="I129" s="10">
        <v>2</v>
      </c>
      <c r="J129" s="13">
        <v>0</v>
      </c>
      <c r="K129" s="14">
        <v>5891</v>
      </c>
      <c r="L129" s="14">
        <v>6192</v>
      </c>
      <c r="M129" s="14">
        <v>1145</v>
      </c>
      <c r="N129" s="15">
        <v>57.523299999999999</v>
      </c>
      <c r="O129" s="11">
        <f t="shared" si="1"/>
        <v>102.41067532634602</v>
      </c>
      <c r="P129" s="10">
        <v>13</v>
      </c>
      <c r="Q129" s="16">
        <v>15808</v>
      </c>
      <c r="R129" s="11">
        <v>10695713.639999997</v>
      </c>
      <c r="S129" s="17">
        <v>67.893996247654783</v>
      </c>
      <c r="T129" s="10">
        <v>0</v>
      </c>
      <c r="U129" s="12">
        <v>0.37805285118219745</v>
      </c>
      <c r="V129" s="14">
        <v>472</v>
      </c>
      <c r="W129" s="11">
        <v>3028.5198</v>
      </c>
      <c r="X129" s="18">
        <v>107</v>
      </c>
    </row>
    <row r="130" spans="1:24" ht="15" customHeight="1" x14ac:dyDescent="0.3">
      <c r="A130" s="9">
        <v>36016</v>
      </c>
      <c r="B130" s="9" t="s">
        <v>137</v>
      </c>
      <c r="C130" s="10" t="s">
        <v>27</v>
      </c>
      <c r="D130" s="10">
        <v>0</v>
      </c>
      <c r="E130" s="11">
        <v>-4.9578642199999976</v>
      </c>
      <c r="F130" s="10">
        <v>685</v>
      </c>
      <c r="G130" s="11">
        <v>0.42468710822124478</v>
      </c>
      <c r="H130" s="12">
        <v>6.88E-2</v>
      </c>
      <c r="I130" s="10">
        <v>0</v>
      </c>
      <c r="J130" s="13">
        <v>0</v>
      </c>
      <c r="K130" s="14">
        <v>1731</v>
      </c>
      <c r="L130" s="14">
        <v>1997</v>
      </c>
      <c r="M130" s="14">
        <v>466</v>
      </c>
      <c r="N130" s="15">
        <v>95.460400000000007</v>
      </c>
      <c r="O130" s="11">
        <f t="shared" ref="O130:O193" si="2">K130/N130</f>
        <v>18.133173546308207</v>
      </c>
      <c r="P130" s="10">
        <v>100</v>
      </c>
      <c r="Q130" s="16">
        <v>14368</v>
      </c>
      <c r="R130" s="11">
        <v>4009314.5900000012</v>
      </c>
      <c r="S130" s="17">
        <v>69.946091644204856</v>
      </c>
      <c r="T130" s="10">
        <v>1</v>
      </c>
      <c r="U130" s="12">
        <v>0.72080766813324959</v>
      </c>
      <c r="V130" s="14">
        <v>157</v>
      </c>
      <c r="W130" s="11">
        <v>920.64320000000021</v>
      </c>
      <c r="X130" s="18">
        <v>73</v>
      </c>
    </row>
    <row r="131" spans="1:24" ht="15" customHeight="1" x14ac:dyDescent="0.3">
      <c r="A131" s="9">
        <v>39011</v>
      </c>
      <c r="B131" s="9" t="s">
        <v>138</v>
      </c>
      <c r="C131" s="10" t="s">
        <v>9</v>
      </c>
      <c r="D131" s="10">
        <v>1</v>
      </c>
      <c r="E131" s="11">
        <v>22.751028912999999</v>
      </c>
      <c r="F131" s="10">
        <v>664</v>
      </c>
      <c r="G131" s="11">
        <v>0.80129360941740047</v>
      </c>
      <c r="H131" s="12">
        <v>0</v>
      </c>
      <c r="I131" s="10">
        <v>0</v>
      </c>
      <c r="J131" s="13">
        <v>0</v>
      </c>
      <c r="K131" s="14">
        <v>8067</v>
      </c>
      <c r="L131" s="14">
        <v>8259</v>
      </c>
      <c r="M131" s="14">
        <v>1717</v>
      </c>
      <c r="N131" s="15">
        <v>24.549900000000001</v>
      </c>
      <c r="O131" s="11">
        <f t="shared" si="2"/>
        <v>328.59604316107192</v>
      </c>
      <c r="P131" s="10">
        <v>5</v>
      </c>
      <c r="Q131" s="16">
        <v>14982</v>
      </c>
      <c r="R131" s="11">
        <v>6215847.2400000002</v>
      </c>
      <c r="S131" s="17">
        <v>71.821536397182157</v>
      </c>
      <c r="T131" s="10">
        <v>0</v>
      </c>
      <c r="U131" s="12">
        <v>2.1144602851323829E-2</v>
      </c>
      <c r="V131" s="14">
        <v>565</v>
      </c>
      <c r="W131" s="11">
        <v>1959.4766999999986</v>
      </c>
      <c r="X131" s="18">
        <v>279</v>
      </c>
    </row>
    <row r="132" spans="1:24" ht="15" customHeight="1" x14ac:dyDescent="0.3">
      <c r="A132" s="9">
        <v>37027</v>
      </c>
      <c r="B132" s="9" t="s">
        <v>139</v>
      </c>
      <c r="C132" s="10" t="s">
        <v>13</v>
      </c>
      <c r="D132" s="10">
        <v>2</v>
      </c>
      <c r="E132" s="11">
        <v>67.552837699999998</v>
      </c>
      <c r="F132" s="10">
        <v>701</v>
      </c>
      <c r="G132" s="11">
        <v>0.49974942037203707</v>
      </c>
      <c r="H132" s="12">
        <v>0</v>
      </c>
      <c r="I132" s="10">
        <v>0</v>
      </c>
      <c r="J132" s="13">
        <v>0</v>
      </c>
      <c r="K132" s="14">
        <v>4801</v>
      </c>
      <c r="L132" s="14">
        <v>5066</v>
      </c>
      <c r="M132" s="14">
        <v>919</v>
      </c>
      <c r="N132" s="15">
        <v>58.6706</v>
      </c>
      <c r="O132" s="11">
        <f t="shared" si="2"/>
        <v>81.829740960549231</v>
      </c>
      <c r="P132" s="10">
        <v>24</v>
      </c>
      <c r="Q132" s="16">
        <v>15311</v>
      </c>
      <c r="R132" s="11">
        <v>7178073.160000002</v>
      </c>
      <c r="S132" s="17">
        <v>67.50805585392051</v>
      </c>
      <c r="T132" s="10">
        <v>1</v>
      </c>
      <c r="U132" s="12">
        <v>0.55749446054201468</v>
      </c>
      <c r="V132" s="14">
        <v>395</v>
      </c>
      <c r="W132" s="11">
        <v>2465.7045000000003</v>
      </c>
      <c r="X132" s="18">
        <v>205</v>
      </c>
    </row>
    <row r="133" spans="1:24" ht="15" customHeight="1" x14ac:dyDescent="0.3">
      <c r="A133" s="9">
        <v>40014</v>
      </c>
      <c r="B133" s="9" t="s">
        <v>140</v>
      </c>
      <c r="C133" s="10" t="s">
        <v>21</v>
      </c>
      <c r="D133" s="10">
        <v>4</v>
      </c>
      <c r="E133" s="11">
        <v>-0.1108050519999999</v>
      </c>
      <c r="F133" s="10">
        <v>574</v>
      </c>
      <c r="G133" s="11">
        <v>0.86305273070549193</v>
      </c>
      <c r="H133" s="12">
        <v>0</v>
      </c>
      <c r="I133" s="10">
        <v>0</v>
      </c>
      <c r="J133" s="13">
        <v>0</v>
      </c>
      <c r="K133" s="14">
        <v>2433</v>
      </c>
      <c r="L133" s="14">
        <v>2516</v>
      </c>
      <c r="M133" s="14">
        <v>400</v>
      </c>
      <c r="N133" s="15">
        <v>63.130400000000002</v>
      </c>
      <c r="O133" s="11">
        <f t="shared" si="2"/>
        <v>38.539277432108776</v>
      </c>
      <c r="P133" s="10">
        <v>12</v>
      </c>
      <c r="Q133" s="16">
        <v>12988</v>
      </c>
      <c r="R133" s="11">
        <v>3577587.8899999973</v>
      </c>
      <c r="S133" s="17">
        <v>69.737644905430145</v>
      </c>
      <c r="T133" s="10">
        <v>1</v>
      </c>
      <c r="U133" s="12">
        <v>0.70324885157611272</v>
      </c>
      <c r="V133" s="14">
        <v>145</v>
      </c>
      <c r="W133" s="11">
        <v>3367.0707000000029</v>
      </c>
      <c r="X133" s="18">
        <v>97</v>
      </c>
    </row>
    <row r="134" spans="1:24" ht="15" customHeight="1" x14ac:dyDescent="0.3">
      <c r="A134" s="9">
        <v>37028</v>
      </c>
      <c r="B134" s="9" t="s">
        <v>141</v>
      </c>
      <c r="C134" s="10" t="s">
        <v>13</v>
      </c>
      <c r="D134" s="10">
        <v>0</v>
      </c>
      <c r="E134" s="11">
        <v>48.402308090999995</v>
      </c>
      <c r="F134" s="10">
        <v>650</v>
      </c>
      <c r="G134" s="11">
        <v>0.78237832909113181</v>
      </c>
      <c r="H134" s="12">
        <v>0</v>
      </c>
      <c r="I134" s="10">
        <v>1</v>
      </c>
      <c r="J134" s="13">
        <v>0</v>
      </c>
      <c r="K134" s="14">
        <v>5595</v>
      </c>
      <c r="L134" s="14">
        <v>5462</v>
      </c>
      <c r="M134" s="14">
        <v>869</v>
      </c>
      <c r="N134" s="15">
        <v>37.154200000000003</v>
      </c>
      <c r="O134" s="11">
        <f t="shared" si="2"/>
        <v>150.58862793439232</v>
      </c>
      <c r="P134" s="10">
        <v>15</v>
      </c>
      <c r="Q134" s="16">
        <v>14553</v>
      </c>
      <c r="R134" s="11">
        <v>6629555.080000001</v>
      </c>
      <c r="S134" s="17">
        <v>70.928462709284616</v>
      </c>
      <c r="T134" s="10">
        <v>0</v>
      </c>
      <c r="U134" s="12">
        <v>2.4907133243607001E-2</v>
      </c>
      <c r="V134" s="14">
        <v>272</v>
      </c>
      <c r="W134" s="11">
        <v>2988.7789000000012</v>
      </c>
      <c r="X134" s="18">
        <v>143</v>
      </c>
    </row>
    <row r="135" spans="1:24" ht="15" customHeight="1" x14ac:dyDescent="0.3">
      <c r="A135" s="9">
        <v>40015</v>
      </c>
      <c r="B135" s="9" t="s">
        <v>142</v>
      </c>
      <c r="C135" s="10" t="s">
        <v>21</v>
      </c>
      <c r="D135" s="10">
        <v>1</v>
      </c>
      <c r="E135" s="11">
        <v>27.786380526000002</v>
      </c>
      <c r="F135" s="10">
        <v>631</v>
      </c>
      <c r="G135" s="11">
        <v>0.83200554753505174</v>
      </c>
      <c r="H135" s="12">
        <v>0</v>
      </c>
      <c r="I135" s="10">
        <v>1</v>
      </c>
      <c r="J135" s="13">
        <v>0</v>
      </c>
      <c r="K135" s="14">
        <v>10682</v>
      </c>
      <c r="L135" s="14">
        <v>10238</v>
      </c>
      <c r="M135" s="14">
        <v>1771</v>
      </c>
      <c r="N135" s="15">
        <v>7.7713999999999999</v>
      </c>
      <c r="O135" s="11">
        <f t="shared" si="2"/>
        <v>1374.5271122320303</v>
      </c>
      <c r="P135" s="10">
        <v>8</v>
      </c>
      <c r="Q135" s="16">
        <v>13876</v>
      </c>
      <c r="R135" s="11">
        <v>8158586.2000000011</v>
      </c>
      <c r="S135" s="17">
        <v>71.323339364176789</v>
      </c>
      <c r="T135" s="10">
        <v>0</v>
      </c>
      <c r="U135" s="12">
        <v>0</v>
      </c>
      <c r="V135" s="14">
        <v>953</v>
      </c>
      <c r="W135" s="11">
        <v>320.21510000000006</v>
      </c>
      <c r="X135" s="18">
        <v>79</v>
      </c>
    </row>
    <row r="136" spans="1:24" ht="15" customHeight="1" x14ac:dyDescent="0.3">
      <c r="A136" s="9">
        <v>35022</v>
      </c>
      <c r="B136" s="9" t="s">
        <v>143</v>
      </c>
      <c r="C136" s="10" t="s">
        <v>7</v>
      </c>
      <c r="D136" s="10">
        <v>4</v>
      </c>
      <c r="E136" s="11">
        <v>108.26541467</v>
      </c>
      <c r="F136" s="10">
        <v>677</v>
      </c>
      <c r="G136" s="11">
        <v>0.81555865767428382</v>
      </c>
      <c r="H136" s="12">
        <v>0</v>
      </c>
      <c r="I136" s="10">
        <v>0</v>
      </c>
      <c r="J136" s="13">
        <v>0</v>
      </c>
      <c r="K136" s="14">
        <v>5657</v>
      </c>
      <c r="L136" s="14">
        <v>5899</v>
      </c>
      <c r="M136" s="14">
        <v>927</v>
      </c>
      <c r="N136" s="15">
        <v>42.145299999999999</v>
      </c>
      <c r="O136" s="11">
        <f t="shared" si="2"/>
        <v>134.22611774029369</v>
      </c>
      <c r="P136" s="10">
        <v>8</v>
      </c>
      <c r="Q136" s="16">
        <v>15313</v>
      </c>
      <c r="R136" s="11">
        <v>4938218.6700000009</v>
      </c>
      <c r="S136" s="17">
        <v>72.476851851851848</v>
      </c>
      <c r="T136" s="10">
        <v>0</v>
      </c>
      <c r="U136" s="12">
        <v>3.4780545670225385E-2</v>
      </c>
      <c r="V136" s="14">
        <v>440</v>
      </c>
      <c r="W136" s="11">
        <v>3346.9590000000012</v>
      </c>
      <c r="X136" s="18">
        <v>149</v>
      </c>
    </row>
    <row r="137" spans="1:24" ht="15" customHeight="1" x14ac:dyDescent="0.3">
      <c r="A137" s="9">
        <v>40016</v>
      </c>
      <c r="B137" s="9" t="s">
        <v>144</v>
      </c>
      <c r="C137" s="10" t="s">
        <v>21</v>
      </c>
      <c r="D137" s="10">
        <v>1</v>
      </c>
      <c r="E137" s="11">
        <v>61.200736321999997</v>
      </c>
      <c r="F137" s="10">
        <v>625</v>
      </c>
      <c r="G137" s="11">
        <v>0.77298616329824843</v>
      </c>
      <c r="H137" s="12">
        <v>0</v>
      </c>
      <c r="I137" s="10">
        <v>1</v>
      </c>
      <c r="J137" s="10">
        <v>1</v>
      </c>
      <c r="K137" s="14">
        <v>9325</v>
      </c>
      <c r="L137" s="14">
        <v>8910</v>
      </c>
      <c r="M137" s="14">
        <v>1321</v>
      </c>
      <c r="N137" s="15">
        <v>14.138199999999999</v>
      </c>
      <c r="O137" s="11">
        <f t="shared" si="2"/>
        <v>659.56062299302596</v>
      </c>
      <c r="P137" s="10">
        <v>0</v>
      </c>
      <c r="Q137" s="16">
        <v>13646</v>
      </c>
      <c r="R137" s="11">
        <v>9983716.9200000055</v>
      </c>
      <c r="S137" s="17">
        <v>69.464207927980254</v>
      </c>
      <c r="T137" s="10">
        <v>0</v>
      </c>
      <c r="U137" s="12">
        <v>0</v>
      </c>
      <c r="V137" s="14">
        <v>872</v>
      </c>
      <c r="W137" s="11">
        <v>648.72139999999945</v>
      </c>
      <c r="X137" s="18">
        <v>159</v>
      </c>
    </row>
    <row r="138" spans="1:24" ht="15" customHeight="1" x14ac:dyDescent="0.3">
      <c r="A138" s="9">
        <v>33022</v>
      </c>
      <c r="B138" s="9" t="s">
        <v>145</v>
      </c>
      <c r="C138" s="10" t="s">
        <v>3</v>
      </c>
      <c r="D138" s="10">
        <v>5</v>
      </c>
      <c r="E138" s="11">
        <v>14.954856027</v>
      </c>
      <c r="F138" s="10">
        <v>682</v>
      </c>
      <c r="G138" s="11">
        <v>0.77895618557394297</v>
      </c>
      <c r="H138" s="12">
        <v>0</v>
      </c>
      <c r="I138" s="10">
        <v>0</v>
      </c>
      <c r="J138" s="13">
        <v>0</v>
      </c>
      <c r="K138" s="14">
        <v>2077</v>
      </c>
      <c r="L138" s="14">
        <v>1999</v>
      </c>
      <c r="M138" s="14">
        <v>395</v>
      </c>
      <c r="N138" s="15">
        <v>44.477400000000003</v>
      </c>
      <c r="O138" s="11">
        <f t="shared" si="2"/>
        <v>46.697873526779887</v>
      </c>
      <c r="P138" s="10">
        <v>47</v>
      </c>
      <c r="Q138" s="16">
        <v>20520</v>
      </c>
      <c r="R138" s="11">
        <v>1757031.6199999996</v>
      </c>
      <c r="S138" s="17">
        <v>75.201380897583419</v>
      </c>
      <c r="T138" s="10">
        <v>1</v>
      </c>
      <c r="U138" s="12">
        <v>0.20814973021582733</v>
      </c>
      <c r="V138" s="14">
        <v>155</v>
      </c>
      <c r="W138" s="11">
        <v>3089.8662000000013</v>
      </c>
      <c r="X138" s="18">
        <v>117</v>
      </c>
    </row>
    <row r="139" spans="1:24" ht="15" customHeight="1" x14ac:dyDescent="0.3">
      <c r="A139" s="9">
        <v>99004</v>
      </c>
      <c r="B139" s="9" t="s">
        <v>146</v>
      </c>
      <c r="C139" s="10" t="s">
        <v>30</v>
      </c>
      <c r="D139" s="10">
        <v>2</v>
      </c>
      <c r="E139" s="11">
        <v>0.78579553900000021</v>
      </c>
      <c r="F139" s="10">
        <v>687</v>
      </c>
      <c r="G139" s="11">
        <v>0.51725170043094892</v>
      </c>
      <c r="H139" s="12">
        <v>0.1434</v>
      </c>
      <c r="I139" s="10">
        <v>0</v>
      </c>
      <c r="J139" s="13">
        <v>0</v>
      </c>
      <c r="K139" s="14">
        <v>1135</v>
      </c>
      <c r="L139" s="14">
        <v>1152</v>
      </c>
      <c r="M139" s="14">
        <v>218</v>
      </c>
      <c r="N139" s="15">
        <v>18.8507</v>
      </c>
      <c r="O139" s="11">
        <f t="shared" si="2"/>
        <v>60.209965677667142</v>
      </c>
      <c r="P139" s="10">
        <v>56.999999999999993</v>
      </c>
      <c r="Q139" s="16">
        <v>10383</v>
      </c>
      <c r="R139" s="11">
        <v>1422008.03</v>
      </c>
      <c r="S139" s="17">
        <v>70.877192982456137</v>
      </c>
      <c r="T139" s="10">
        <v>1</v>
      </c>
      <c r="U139" s="12">
        <v>0.31882228116710876</v>
      </c>
      <c r="V139" s="14">
        <v>64</v>
      </c>
      <c r="W139" s="11">
        <v>1107.9110999999991</v>
      </c>
      <c r="X139" s="18">
        <v>68</v>
      </c>
    </row>
    <row r="140" spans="1:24" ht="15" customHeight="1" x14ac:dyDescent="0.3">
      <c r="A140" s="9">
        <v>38025</v>
      </c>
      <c r="B140" s="9" t="s">
        <v>147</v>
      </c>
      <c r="C140" s="10" t="s">
        <v>17</v>
      </c>
      <c r="D140" s="10">
        <v>0</v>
      </c>
      <c r="E140" s="11">
        <v>8.8145467809999989</v>
      </c>
      <c r="F140" s="10">
        <v>567</v>
      </c>
      <c r="G140" s="11">
        <v>0.71476221327423461</v>
      </c>
      <c r="H140" s="12">
        <v>0.19399999999999998</v>
      </c>
      <c r="I140" s="10">
        <v>0</v>
      </c>
      <c r="J140" s="13">
        <v>0</v>
      </c>
      <c r="K140" s="14">
        <v>3475</v>
      </c>
      <c r="L140" s="25">
        <v>3895</v>
      </c>
      <c r="M140" s="14">
        <v>746</v>
      </c>
      <c r="N140" s="15">
        <v>33.176400000000001</v>
      </c>
      <c r="O140" s="11">
        <f t="shared" si="2"/>
        <v>104.74313065914325</v>
      </c>
      <c r="P140" s="10">
        <v>17</v>
      </c>
      <c r="Q140" s="16">
        <v>7150</v>
      </c>
      <c r="R140" s="11">
        <v>6690027.2000000002</v>
      </c>
      <c r="S140" s="17">
        <v>66.478592764686368</v>
      </c>
      <c r="T140" s="10">
        <v>1</v>
      </c>
      <c r="U140" s="12">
        <v>4.6305003013863769E-2</v>
      </c>
      <c r="V140" s="14">
        <v>184</v>
      </c>
      <c r="W140" s="11">
        <v>1152.3672000000004</v>
      </c>
      <c r="X140" s="18">
        <v>24</v>
      </c>
    </row>
    <row r="141" spans="1:24" ht="15" customHeight="1" x14ac:dyDescent="0.3">
      <c r="A141" s="9">
        <v>33023</v>
      </c>
      <c r="B141" s="9" t="s">
        <v>148</v>
      </c>
      <c r="C141" s="10" t="s">
        <v>3</v>
      </c>
      <c r="D141" s="10">
        <v>1</v>
      </c>
      <c r="E141" s="11">
        <v>23.625791462999999</v>
      </c>
      <c r="F141" s="10">
        <v>650</v>
      </c>
      <c r="G141" s="11">
        <v>0.65272954973406661</v>
      </c>
      <c r="H141" s="12">
        <v>0</v>
      </c>
      <c r="I141" s="10">
        <v>0</v>
      </c>
      <c r="J141" s="13">
        <v>0</v>
      </c>
      <c r="K141" s="14">
        <v>5715</v>
      </c>
      <c r="L141" s="14">
        <v>5431</v>
      </c>
      <c r="M141" s="14">
        <v>909</v>
      </c>
      <c r="N141" s="15">
        <v>31.099900000000002</v>
      </c>
      <c r="O141" s="11">
        <f t="shared" si="2"/>
        <v>183.7626487544976</v>
      </c>
      <c r="P141" s="10">
        <v>3</v>
      </c>
      <c r="Q141" s="16">
        <v>19246</v>
      </c>
      <c r="R141" s="11">
        <v>4400760.2399999974</v>
      </c>
      <c r="S141" s="17">
        <v>75.279666593551227</v>
      </c>
      <c r="T141" s="10">
        <v>0</v>
      </c>
      <c r="U141" s="12">
        <v>8.1861736334405147E-2</v>
      </c>
      <c r="V141" s="14">
        <v>373</v>
      </c>
      <c r="W141" s="11">
        <v>2463.4395999999997</v>
      </c>
      <c r="X141" s="18">
        <v>54</v>
      </c>
    </row>
    <row r="142" spans="1:24" ht="15" customHeight="1" x14ac:dyDescent="0.3">
      <c r="A142" s="9">
        <v>33024</v>
      </c>
      <c r="B142" s="9" t="s">
        <v>149</v>
      </c>
      <c r="C142" s="10" t="s">
        <v>3</v>
      </c>
      <c r="D142" s="10">
        <v>0</v>
      </c>
      <c r="E142" s="11">
        <v>73.813455540000007</v>
      </c>
      <c r="F142" s="10">
        <v>633</v>
      </c>
      <c r="G142" s="11">
        <v>0.72426442956651926</v>
      </c>
      <c r="H142" s="12">
        <v>0</v>
      </c>
      <c r="I142" s="10">
        <v>0</v>
      </c>
      <c r="J142" s="10">
        <v>2</v>
      </c>
      <c r="K142" s="14">
        <v>4572</v>
      </c>
      <c r="L142" s="14">
        <v>4386</v>
      </c>
      <c r="M142" s="14">
        <v>693</v>
      </c>
      <c r="N142" s="15">
        <v>34.612499999999997</v>
      </c>
      <c r="O142" s="11">
        <f t="shared" si="2"/>
        <v>132.09100758396534</v>
      </c>
      <c r="P142" s="10">
        <v>10</v>
      </c>
      <c r="Q142" s="16">
        <v>16215</v>
      </c>
      <c r="R142" s="11">
        <v>3812615.7799999975</v>
      </c>
      <c r="S142" s="17">
        <v>67.906418716256738</v>
      </c>
      <c r="T142" s="10">
        <v>1</v>
      </c>
      <c r="U142" s="12">
        <v>7.2259462583068479E-2</v>
      </c>
      <c r="V142" s="14">
        <v>276</v>
      </c>
      <c r="W142" s="11">
        <v>2796.1414</v>
      </c>
      <c r="X142" s="18">
        <v>66</v>
      </c>
    </row>
    <row r="143" spans="1:24" ht="15" customHeight="1" x14ac:dyDescent="0.3">
      <c r="A143" s="9">
        <v>37030</v>
      </c>
      <c r="B143" s="9" t="s">
        <v>150</v>
      </c>
      <c r="C143" s="10" t="s">
        <v>13</v>
      </c>
      <c r="D143" s="10">
        <v>4</v>
      </c>
      <c r="E143" s="11">
        <v>191.21505043600001</v>
      </c>
      <c r="F143" s="10">
        <v>694</v>
      </c>
      <c r="G143" s="11">
        <v>0.79621178532594328</v>
      </c>
      <c r="H143" s="12">
        <v>0</v>
      </c>
      <c r="I143" s="10">
        <v>0</v>
      </c>
      <c r="J143" s="10">
        <v>3</v>
      </c>
      <c r="K143" s="14">
        <v>12757</v>
      </c>
      <c r="L143" s="14">
        <v>10766</v>
      </c>
      <c r="M143" s="14">
        <v>2040</v>
      </c>
      <c r="N143" s="15">
        <v>34.369799999999998</v>
      </c>
      <c r="O143" s="11">
        <f t="shared" si="2"/>
        <v>371.16887500072738</v>
      </c>
      <c r="P143" s="10">
        <v>8</v>
      </c>
      <c r="Q143" s="16">
        <v>19288</v>
      </c>
      <c r="R143" s="11">
        <v>11727075.050000004</v>
      </c>
      <c r="S143" s="17">
        <v>77.040816326530617</v>
      </c>
      <c r="T143" s="10">
        <v>0</v>
      </c>
      <c r="U143" s="12">
        <v>1.6520221123072446E-2</v>
      </c>
      <c r="V143" s="14">
        <v>1228</v>
      </c>
      <c r="W143" s="11">
        <v>2561.9325000000017</v>
      </c>
      <c r="X143" s="18">
        <v>124</v>
      </c>
    </row>
    <row r="144" spans="1:24" ht="15" customHeight="1" x14ac:dyDescent="0.3">
      <c r="A144" s="9">
        <v>37031</v>
      </c>
      <c r="B144" s="9" t="s">
        <v>151</v>
      </c>
      <c r="C144" s="10" t="s">
        <v>13</v>
      </c>
      <c r="D144" s="10">
        <v>2</v>
      </c>
      <c r="E144" s="11">
        <v>-11.467768939999999</v>
      </c>
      <c r="F144" s="10">
        <v>663</v>
      </c>
      <c r="G144" s="11">
        <v>0.44229854120855211</v>
      </c>
      <c r="H144" s="12">
        <v>9.98E-2</v>
      </c>
      <c r="I144" s="10">
        <v>2</v>
      </c>
      <c r="J144" s="13">
        <v>0</v>
      </c>
      <c r="K144" s="14">
        <v>3887</v>
      </c>
      <c r="L144" s="14">
        <v>3982</v>
      </c>
      <c r="M144" s="14">
        <v>759</v>
      </c>
      <c r="N144" s="15">
        <v>77.403599999999997</v>
      </c>
      <c r="O144" s="11">
        <f t="shared" si="2"/>
        <v>50.217302554403155</v>
      </c>
      <c r="P144" s="10">
        <v>36</v>
      </c>
      <c r="Q144" s="16">
        <v>15673</v>
      </c>
      <c r="R144" s="11">
        <v>4470605.2300000023</v>
      </c>
      <c r="S144" s="17">
        <v>69.245901639344268</v>
      </c>
      <c r="T144" s="10">
        <v>1</v>
      </c>
      <c r="U144" s="12">
        <v>0.64013824289405685</v>
      </c>
      <c r="V144" s="14">
        <v>198</v>
      </c>
      <c r="W144" s="11">
        <v>2825.4687999999996</v>
      </c>
      <c r="X144" s="18">
        <v>81</v>
      </c>
    </row>
    <row r="145" spans="1:24" ht="15" customHeight="1" x14ac:dyDescent="0.3">
      <c r="A145" s="9">
        <v>33025</v>
      </c>
      <c r="B145" s="9" t="s">
        <v>152</v>
      </c>
      <c r="C145" s="10" t="s">
        <v>3</v>
      </c>
      <c r="D145" s="10">
        <v>2</v>
      </c>
      <c r="E145" s="11">
        <v>-9.2346595700000016</v>
      </c>
      <c r="F145" s="10">
        <v>695</v>
      </c>
      <c r="G145" s="11">
        <v>0.55817081808906766</v>
      </c>
      <c r="H145" s="12">
        <v>2.3E-3</v>
      </c>
      <c r="I145" s="10">
        <v>0</v>
      </c>
      <c r="J145" s="13">
        <v>0</v>
      </c>
      <c r="K145" s="14">
        <v>2137</v>
      </c>
      <c r="L145" s="14">
        <v>2324</v>
      </c>
      <c r="M145" s="14">
        <v>540</v>
      </c>
      <c r="N145" s="15">
        <v>56.330800000000004</v>
      </c>
      <c r="O145" s="11">
        <f t="shared" si="2"/>
        <v>37.93661726799548</v>
      </c>
      <c r="P145" s="10">
        <v>37</v>
      </c>
      <c r="Q145" s="16">
        <v>14035</v>
      </c>
      <c r="R145" s="11">
        <v>1945139.87</v>
      </c>
      <c r="S145" s="17">
        <v>68.764044943820224</v>
      </c>
      <c r="T145" s="10">
        <v>1</v>
      </c>
      <c r="U145" s="12">
        <v>0.45109888159062667</v>
      </c>
      <c r="V145" s="14">
        <v>149</v>
      </c>
      <c r="W145" s="11">
        <v>2578.4942999999998</v>
      </c>
      <c r="X145" s="18">
        <v>199</v>
      </c>
    </row>
    <row r="146" spans="1:24" ht="15" customHeight="1" x14ac:dyDescent="0.3">
      <c r="A146" s="9">
        <v>35023</v>
      </c>
      <c r="B146" s="9" t="s">
        <v>153</v>
      </c>
      <c r="C146" s="10" t="s">
        <v>7</v>
      </c>
      <c r="D146" s="10">
        <v>0</v>
      </c>
      <c r="E146" s="11">
        <v>42.537127239999997</v>
      </c>
      <c r="F146" s="10">
        <v>652</v>
      </c>
      <c r="G146" s="11">
        <v>0.90968784483256337</v>
      </c>
      <c r="H146" s="12">
        <v>0</v>
      </c>
      <c r="I146" s="10">
        <v>0</v>
      </c>
      <c r="J146" s="13">
        <v>0</v>
      </c>
      <c r="K146" s="14">
        <v>6241</v>
      </c>
      <c r="L146" s="14">
        <v>6639</v>
      </c>
      <c r="M146" s="14">
        <v>1145</v>
      </c>
      <c r="N146" s="15">
        <v>35.652700000000003</v>
      </c>
      <c r="O146" s="11">
        <f t="shared" si="2"/>
        <v>175.04985597163747</v>
      </c>
      <c r="P146" s="10">
        <v>0</v>
      </c>
      <c r="Q146" s="16">
        <v>14996</v>
      </c>
      <c r="R146" s="11">
        <v>5917097.6100000003</v>
      </c>
      <c r="S146" s="17">
        <v>71.258111785639528</v>
      </c>
      <c r="T146" s="10">
        <v>0</v>
      </c>
      <c r="U146" s="12">
        <v>6.4605890603085553E-2</v>
      </c>
      <c r="V146" s="14">
        <v>444</v>
      </c>
      <c r="W146" s="11">
        <v>2519.5401999999995</v>
      </c>
      <c r="X146" s="18">
        <v>154</v>
      </c>
    </row>
    <row r="147" spans="1:24" ht="15" customHeight="1" x14ac:dyDescent="0.3">
      <c r="A147" s="9">
        <v>35024</v>
      </c>
      <c r="B147" s="9" t="s">
        <v>154</v>
      </c>
      <c r="C147" s="10" t="s">
        <v>7</v>
      </c>
      <c r="D147" s="10">
        <v>2</v>
      </c>
      <c r="E147" s="11">
        <v>83.140755040000002</v>
      </c>
      <c r="F147" s="10">
        <v>615</v>
      </c>
      <c r="G147" s="11">
        <v>0.90821161388831895</v>
      </c>
      <c r="H147" s="12">
        <v>0</v>
      </c>
      <c r="I147" s="10">
        <v>0</v>
      </c>
      <c r="J147" s="13">
        <v>0</v>
      </c>
      <c r="K147" s="14">
        <v>14591</v>
      </c>
      <c r="L147" s="14">
        <v>14786</v>
      </c>
      <c r="M147" s="14">
        <v>2664</v>
      </c>
      <c r="N147" s="15">
        <v>52.926000000000002</v>
      </c>
      <c r="O147" s="11">
        <f t="shared" si="2"/>
        <v>275.68680799607</v>
      </c>
      <c r="P147" s="10">
        <v>0</v>
      </c>
      <c r="Q147" s="16">
        <v>16901</v>
      </c>
      <c r="R147" s="11">
        <v>15003006.279999996</v>
      </c>
      <c r="S147" s="17">
        <v>71.212672978878373</v>
      </c>
      <c r="T147" s="10">
        <v>0</v>
      </c>
      <c r="U147" s="12">
        <v>5.7991687133950497E-2</v>
      </c>
      <c r="V147" s="14">
        <v>1157</v>
      </c>
      <c r="W147" s="11">
        <v>3455.1990999999971</v>
      </c>
      <c r="X147" s="18">
        <v>253</v>
      </c>
    </row>
    <row r="148" spans="1:24" ht="15" customHeight="1" x14ac:dyDescent="0.3">
      <c r="A148" s="9">
        <v>36017</v>
      </c>
      <c r="B148" s="9" t="s">
        <v>155</v>
      </c>
      <c r="C148" s="10" t="s">
        <v>27</v>
      </c>
      <c r="D148" s="10">
        <v>5</v>
      </c>
      <c r="E148" s="11">
        <v>11.643310269999999</v>
      </c>
      <c r="F148" s="10">
        <v>711</v>
      </c>
      <c r="G148" s="11">
        <v>0.87138378804204519</v>
      </c>
      <c r="H148" s="12">
        <v>0.21299999999999999</v>
      </c>
      <c r="I148" s="10">
        <v>0</v>
      </c>
      <c r="J148" s="13">
        <v>0</v>
      </c>
      <c r="K148" s="14">
        <v>4096</v>
      </c>
      <c r="L148" s="14">
        <v>3999</v>
      </c>
      <c r="M148" s="14">
        <v>743</v>
      </c>
      <c r="N148" s="15">
        <v>48.296799999999998</v>
      </c>
      <c r="O148" s="11">
        <f t="shared" si="2"/>
        <v>84.808931440592346</v>
      </c>
      <c r="P148" s="10">
        <v>40</v>
      </c>
      <c r="Q148" s="16">
        <v>15845</v>
      </c>
      <c r="R148" s="11">
        <v>4346724.3899999987</v>
      </c>
      <c r="S148" s="17">
        <v>69.300518134715034</v>
      </c>
      <c r="T148" s="10">
        <v>1</v>
      </c>
      <c r="U148" s="12">
        <v>0.43215113871635619</v>
      </c>
      <c r="V148" s="14">
        <v>302</v>
      </c>
      <c r="W148" s="11">
        <v>2709.880799999999</v>
      </c>
      <c r="X148" s="18">
        <v>186</v>
      </c>
    </row>
    <row r="149" spans="1:24" ht="15" customHeight="1" x14ac:dyDescent="0.3">
      <c r="A149" s="9">
        <v>37032</v>
      </c>
      <c r="B149" s="9" t="s">
        <v>156</v>
      </c>
      <c r="C149" s="10" t="s">
        <v>13</v>
      </c>
      <c r="D149" s="10">
        <v>12</v>
      </c>
      <c r="E149" s="11">
        <v>594.36890034999999</v>
      </c>
      <c r="F149" s="10">
        <v>636</v>
      </c>
      <c r="G149" s="11">
        <v>0.7687852100946907</v>
      </c>
      <c r="H149" s="12">
        <v>8.0000000000000004E-4</v>
      </c>
      <c r="I149" s="10">
        <v>1</v>
      </c>
      <c r="J149" s="10">
        <v>3</v>
      </c>
      <c r="K149" s="14">
        <v>69121</v>
      </c>
      <c r="L149" s="14">
        <v>67892</v>
      </c>
      <c r="M149" s="14">
        <v>13437</v>
      </c>
      <c r="N149" s="15">
        <v>205.02449999999999</v>
      </c>
      <c r="O149" s="11">
        <f t="shared" si="2"/>
        <v>337.13531797419336</v>
      </c>
      <c r="P149" s="10">
        <v>9</v>
      </c>
      <c r="Q149" s="16">
        <v>17610</v>
      </c>
      <c r="R149" s="11">
        <v>85400602.98999992</v>
      </c>
      <c r="S149" s="17">
        <v>73.592364601569997</v>
      </c>
      <c r="T149" s="10">
        <v>0</v>
      </c>
      <c r="U149" s="12">
        <v>5.9582479758072383E-2</v>
      </c>
      <c r="V149" s="14">
        <v>5651</v>
      </c>
      <c r="W149" s="11">
        <v>15387.969500000037</v>
      </c>
      <c r="X149" s="18">
        <v>1175</v>
      </c>
    </row>
    <row r="150" spans="1:24" ht="15" customHeight="1" x14ac:dyDescent="0.3">
      <c r="A150" s="9">
        <v>38010</v>
      </c>
      <c r="B150" s="9" t="s">
        <v>157</v>
      </c>
      <c r="C150" s="10" t="s">
        <v>17</v>
      </c>
      <c r="D150" s="10">
        <v>1</v>
      </c>
      <c r="E150" s="11">
        <v>131.90402620999998</v>
      </c>
      <c r="F150" s="10">
        <v>660</v>
      </c>
      <c r="G150" s="11">
        <v>0.73343422054243079</v>
      </c>
      <c r="H150" s="12">
        <v>0</v>
      </c>
      <c r="I150" s="10">
        <v>0</v>
      </c>
      <c r="J150" s="10">
        <v>2</v>
      </c>
      <c r="K150" s="14">
        <v>2630</v>
      </c>
      <c r="L150" s="25">
        <v>3003</v>
      </c>
      <c r="M150" s="14">
        <v>716</v>
      </c>
      <c r="N150" s="15">
        <v>108.3399</v>
      </c>
      <c r="O150" s="11">
        <f t="shared" si="2"/>
        <v>24.275451611086957</v>
      </c>
      <c r="P150" s="10">
        <v>30</v>
      </c>
      <c r="Q150" s="16">
        <v>13120</v>
      </c>
      <c r="R150" s="11">
        <v>5724309.879999999</v>
      </c>
      <c r="S150" s="17">
        <v>64.5367412140575</v>
      </c>
      <c r="T150" s="10">
        <v>1</v>
      </c>
      <c r="U150" s="12">
        <v>5.1855270444895697E-3</v>
      </c>
      <c r="V150" s="14">
        <v>113</v>
      </c>
      <c r="W150" s="11">
        <v>10317.098299999998</v>
      </c>
      <c r="X150" s="18">
        <v>199</v>
      </c>
    </row>
    <row r="151" spans="1:24" ht="15" customHeight="1" x14ac:dyDescent="0.3">
      <c r="A151" s="9">
        <v>38011</v>
      </c>
      <c r="B151" s="9" t="s">
        <v>158</v>
      </c>
      <c r="C151" s="10" t="s">
        <v>17</v>
      </c>
      <c r="D151" s="10">
        <v>0</v>
      </c>
      <c r="E151" s="11">
        <v>21.173333323000001</v>
      </c>
      <c r="F151" s="10">
        <v>619</v>
      </c>
      <c r="G151" s="11">
        <v>0.74754818951540258</v>
      </c>
      <c r="H151" s="12">
        <v>0</v>
      </c>
      <c r="I151" s="10">
        <v>0</v>
      </c>
      <c r="J151" s="13">
        <v>0</v>
      </c>
      <c r="K151" s="14">
        <v>4718</v>
      </c>
      <c r="L151" s="14">
        <v>4952</v>
      </c>
      <c r="M151" s="14">
        <v>1006</v>
      </c>
      <c r="N151" s="15">
        <v>34.4373</v>
      </c>
      <c r="O151" s="11">
        <f t="shared" si="2"/>
        <v>137.00261054147683</v>
      </c>
      <c r="P151" s="10">
        <v>11</v>
      </c>
      <c r="Q151" s="16">
        <v>13225</v>
      </c>
      <c r="R151" s="11">
        <v>4169620.5999999996</v>
      </c>
      <c r="S151" s="17">
        <v>64.41153944345163</v>
      </c>
      <c r="T151" s="10">
        <v>1</v>
      </c>
      <c r="U151" s="12">
        <v>8.7543554006968647E-3</v>
      </c>
      <c r="V151" s="14">
        <v>281</v>
      </c>
      <c r="W151" s="11">
        <v>3285.2557999999963</v>
      </c>
      <c r="X151" s="18">
        <v>68</v>
      </c>
    </row>
    <row r="152" spans="1:24" ht="15" customHeight="1" x14ac:dyDescent="0.3">
      <c r="A152" s="9">
        <v>36018</v>
      </c>
      <c r="B152" s="9" t="s">
        <v>159</v>
      </c>
      <c r="C152" s="10" t="s">
        <v>27</v>
      </c>
      <c r="D152" s="10">
        <v>0</v>
      </c>
      <c r="E152" s="11">
        <v>-8.7714763300000023</v>
      </c>
      <c r="F152" s="10">
        <v>769</v>
      </c>
      <c r="G152" s="11">
        <v>0.38274565538718902</v>
      </c>
      <c r="H152" s="12">
        <v>0</v>
      </c>
      <c r="I152" s="10">
        <v>0</v>
      </c>
      <c r="J152" s="13">
        <v>0</v>
      </c>
      <c r="K152" s="14">
        <v>2634</v>
      </c>
      <c r="L152" s="14">
        <v>2844</v>
      </c>
      <c r="M152" s="14">
        <v>595</v>
      </c>
      <c r="N152" s="15">
        <v>63.908000000000001</v>
      </c>
      <c r="O152" s="11">
        <f t="shared" si="2"/>
        <v>41.215497277336169</v>
      </c>
      <c r="P152" s="10">
        <v>47</v>
      </c>
      <c r="Q152" s="16">
        <v>14141</v>
      </c>
      <c r="R152" s="11">
        <v>5479662.8300000001</v>
      </c>
      <c r="S152" s="17">
        <v>71.155638397017711</v>
      </c>
      <c r="T152" s="10">
        <v>1</v>
      </c>
      <c r="U152" s="12">
        <v>0.56236582694414017</v>
      </c>
      <c r="V152" s="14">
        <v>244</v>
      </c>
      <c r="W152" s="11">
        <v>2883.7757000000001</v>
      </c>
      <c r="X152" s="18">
        <v>152</v>
      </c>
    </row>
    <row r="153" spans="1:24" ht="15" customHeight="1" x14ac:dyDescent="0.3">
      <c r="A153" s="9">
        <v>34018</v>
      </c>
      <c r="B153" s="9" t="s">
        <v>160</v>
      </c>
      <c r="C153" s="10" t="s">
        <v>5</v>
      </c>
      <c r="D153" s="10">
        <v>9</v>
      </c>
      <c r="E153" s="11">
        <v>62.416264663</v>
      </c>
      <c r="F153" s="10">
        <v>656</v>
      </c>
      <c r="G153" s="11">
        <v>0.71778128754675719</v>
      </c>
      <c r="H153" s="12">
        <v>0</v>
      </c>
      <c r="I153" s="10">
        <v>0</v>
      </c>
      <c r="J153" s="10">
        <v>6</v>
      </c>
      <c r="K153" s="14">
        <v>10765</v>
      </c>
      <c r="L153" s="14">
        <v>9784</v>
      </c>
      <c r="M153" s="14">
        <v>1638</v>
      </c>
      <c r="N153" s="15">
        <v>70.843500000000006</v>
      </c>
      <c r="O153" s="11">
        <f t="shared" si="2"/>
        <v>151.95466062518085</v>
      </c>
      <c r="P153" s="10">
        <v>43</v>
      </c>
      <c r="Q153" s="16">
        <v>17345</v>
      </c>
      <c r="R153" s="11">
        <v>22905036.539999995</v>
      </c>
      <c r="S153" s="17">
        <v>70.181103467640042</v>
      </c>
      <c r="T153" s="10">
        <v>0</v>
      </c>
      <c r="U153" s="12">
        <v>0.29101778656126481</v>
      </c>
      <c r="V153" s="14">
        <v>1134</v>
      </c>
      <c r="W153" s="11">
        <v>3996.2574000000013</v>
      </c>
      <c r="X153" s="18">
        <v>190</v>
      </c>
    </row>
    <row r="154" spans="1:24" ht="15" customHeight="1" x14ac:dyDescent="0.3">
      <c r="A154" s="9">
        <v>34019</v>
      </c>
      <c r="B154" s="9" t="s">
        <v>161</v>
      </c>
      <c r="C154" s="10" t="s">
        <v>5</v>
      </c>
      <c r="D154" s="10">
        <v>5</v>
      </c>
      <c r="E154" s="11">
        <v>34.40148001</v>
      </c>
      <c r="F154" s="10">
        <v>697</v>
      </c>
      <c r="G154" s="11">
        <v>0.75217472043629297</v>
      </c>
      <c r="H154" s="12">
        <v>0</v>
      </c>
      <c r="I154" s="10">
        <v>0</v>
      </c>
      <c r="J154" s="10">
        <v>1</v>
      </c>
      <c r="K154" s="14">
        <v>5083</v>
      </c>
      <c r="L154" s="14">
        <v>4759</v>
      </c>
      <c r="M154" s="14">
        <v>737</v>
      </c>
      <c r="N154" s="15">
        <v>47.485799999999998</v>
      </c>
      <c r="O154" s="11">
        <f t="shared" si="2"/>
        <v>107.04252639736511</v>
      </c>
      <c r="P154" s="10">
        <v>6</v>
      </c>
      <c r="Q154" s="16">
        <v>17091</v>
      </c>
      <c r="R154" s="11">
        <v>5322072.8800000036</v>
      </c>
      <c r="S154" s="17">
        <v>71.355236139630378</v>
      </c>
      <c r="T154" s="10">
        <v>0</v>
      </c>
      <c r="U154" s="12">
        <v>0.23679932617393135</v>
      </c>
      <c r="V154" s="14">
        <v>376</v>
      </c>
      <c r="W154" s="11">
        <v>2679.3304000000003</v>
      </c>
      <c r="X154" s="18">
        <v>133</v>
      </c>
    </row>
    <row r="155" spans="1:24" ht="15" customHeight="1" x14ac:dyDescent="0.3">
      <c r="A155" s="9">
        <v>37033</v>
      </c>
      <c r="B155" s="9" t="s">
        <v>162</v>
      </c>
      <c r="C155" s="10" t="s">
        <v>13</v>
      </c>
      <c r="D155" s="10">
        <v>3</v>
      </c>
      <c r="E155" s="11">
        <v>-46.643487530000002</v>
      </c>
      <c r="F155" s="10">
        <v>697</v>
      </c>
      <c r="G155" s="11">
        <v>0.48934233499033941</v>
      </c>
      <c r="H155" s="12">
        <v>0.2772</v>
      </c>
      <c r="I155" s="10">
        <v>0</v>
      </c>
      <c r="J155" s="13">
        <v>0</v>
      </c>
      <c r="K155" s="14">
        <v>2152</v>
      </c>
      <c r="L155" s="14">
        <v>2309</v>
      </c>
      <c r="M155" s="14">
        <v>506</v>
      </c>
      <c r="N155" s="15">
        <v>85.448099999999997</v>
      </c>
      <c r="O155" s="11">
        <f t="shared" si="2"/>
        <v>25.184878306246716</v>
      </c>
      <c r="P155" s="10">
        <v>61</v>
      </c>
      <c r="Q155" s="16">
        <v>15305</v>
      </c>
      <c r="R155" s="11">
        <v>3587346.1300000004</v>
      </c>
      <c r="S155" s="17">
        <v>70.551449687322346</v>
      </c>
      <c r="T155" s="10">
        <v>1</v>
      </c>
      <c r="U155" s="12">
        <v>0.76338092451726158</v>
      </c>
      <c r="V155" s="14">
        <v>198</v>
      </c>
      <c r="W155" s="11">
        <v>1434.6576999999993</v>
      </c>
      <c r="X155" s="18">
        <v>104</v>
      </c>
    </row>
    <row r="156" spans="1:24" ht="15" customHeight="1" x14ac:dyDescent="0.3">
      <c r="A156" s="9">
        <v>37034</v>
      </c>
      <c r="B156" s="9" t="s">
        <v>163</v>
      </c>
      <c r="C156" s="10" t="s">
        <v>13</v>
      </c>
      <c r="D156" s="10">
        <v>1</v>
      </c>
      <c r="E156" s="11">
        <v>-9.1198824899999984</v>
      </c>
      <c r="F156" s="10">
        <v>684</v>
      </c>
      <c r="G156" s="11">
        <v>0.48854585718877264</v>
      </c>
      <c r="H156" s="12">
        <v>0</v>
      </c>
      <c r="I156" s="10">
        <v>0</v>
      </c>
      <c r="J156" s="13">
        <v>0</v>
      </c>
      <c r="K156" s="14">
        <v>4416</v>
      </c>
      <c r="L156" s="14">
        <v>4434</v>
      </c>
      <c r="M156" s="14">
        <v>873</v>
      </c>
      <c r="N156" s="15">
        <v>52.406399999999998</v>
      </c>
      <c r="O156" s="11">
        <f t="shared" si="2"/>
        <v>84.2645173108628</v>
      </c>
      <c r="P156" s="10">
        <v>28.000000000000004</v>
      </c>
      <c r="Q156" s="16">
        <v>16074</v>
      </c>
      <c r="R156" s="11">
        <v>8519612.9700000007</v>
      </c>
      <c r="S156" s="17">
        <v>68.789625360230545</v>
      </c>
      <c r="T156" s="10">
        <v>1</v>
      </c>
      <c r="U156" s="12">
        <v>0.47630032436557912</v>
      </c>
      <c r="V156" s="14">
        <v>329</v>
      </c>
      <c r="W156" s="11">
        <v>3295.777500000002</v>
      </c>
      <c r="X156" s="18">
        <v>90</v>
      </c>
    </row>
    <row r="157" spans="1:24" ht="15" customHeight="1" x14ac:dyDescent="0.3">
      <c r="A157" s="9">
        <v>40018</v>
      </c>
      <c r="B157" s="9" t="s">
        <v>164</v>
      </c>
      <c r="C157" s="10" t="s">
        <v>21</v>
      </c>
      <c r="D157" s="10">
        <v>5</v>
      </c>
      <c r="E157" s="11">
        <v>27.823390316999998</v>
      </c>
      <c r="F157" s="10">
        <v>660</v>
      </c>
      <c r="G157" s="11">
        <v>0.75646432286705512</v>
      </c>
      <c r="H157" s="12">
        <v>0</v>
      </c>
      <c r="I157" s="10">
        <v>0</v>
      </c>
      <c r="J157" s="13">
        <v>0</v>
      </c>
      <c r="K157" s="14">
        <v>7215</v>
      </c>
      <c r="L157" s="14">
        <v>6837</v>
      </c>
      <c r="M157" s="14">
        <v>1134</v>
      </c>
      <c r="N157" s="15">
        <v>23.5763</v>
      </c>
      <c r="O157" s="11">
        <f t="shared" si="2"/>
        <v>306.02766337381183</v>
      </c>
      <c r="P157" s="10">
        <v>0</v>
      </c>
      <c r="Q157" s="16">
        <v>14861</v>
      </c>
      <c r="R157" s="11">
        <v>7318877.0600000033</v>
      </c>
      <c r="S157" s="17">
        <v>73.753375337533754</v>
      </c>
      <c r="T157" s="10">
        <v>0</v>
      </c>
      <c r="U157" s="12">
        <v>4.8659881255301102E-2</v>
      </c>
      <c r="V157" s="14">
        <v>601</v>
      </c>
      <c r="W157" s="11">
        <v>1420.7794999999969</v>
      </c>
      <c r="X157" s="18">
        <v>281</v>
      </c>
    </row>
    <row r="158" spans="1:24" ht="15" customHeight="1" x14ac:dyDescent="0.3">
      <c r="A158" s="9">
        <v>33026</v>
      </c>
      <c r="B158" s="9" t="s">
        <v>165</v>
      </c>
      <c r="C158" s="10" t="s">
        <v>3</v>
      </c>
      <c r="D158" s="10">
        <v>2</v>
      </c>
      <c r="E158" s="11">
        <v>-8.2591593599999982</v>
      </c>
      <c r="F158" s="10">
        <v>639</v>
      </c>
      <c r="G158" s="11">
        <v>0.65347675776345138</v>
      </c>
      <c r="H158" s="12">
        <v>3.2199999999999999E-2</v>
      </c>
      <c r="I158" s="10">
        <v>0</v>
      </c>
      <c r="J158" s="13">
        <v>0</v>
      </c>
      <c r="K158" s="14">
        <v>3889</v>
      </c>
      <c r="L158" s="14">
        <v>4155</v>
      </c>
      <c r="M158" s="14">
        <v>891</v>
      </c>
      <c r="N158" s="15">
        <v>54.398299999999999</v>
      </c>
      <c r="O158" s="11">
        <f t="shared" si="2"/>
        <v>71.491204688381814</v>
      </c>
      <c r="P158" s="10">
        <v>19</v>
      </c>
      <c r="Q158" s="16">
        <v>14610</v>
      </c>
      <c r="R158" s="11">
        <v>3556021.5400000005</v>
      </c>
      <c r="S158" s="17">
        <v>71.733505821474779</v>
      </c>
      <c r="T158" s="10">
        <v>1</v>
      </c>
      <c r="U158" s="12">
        <v>0.39652757352941181</v>
      </c>
      <c r="V158" s="14">
        <v>263</v>
      </c>
      <c r="W158" s="11">
        <v>2700.4782000000005</v>
      </c>
      <c r="X158" s="18">
        <v>213</v>
      </c>
    </row>
    <row r="159" spans="1:24" ht="15" customHeight="1" x14ac:dyDescent="0.3">
      <c r="A159" s="9">
        <v>39012</v>
      </c>
      <c r="B159" s="9" t="s">
        <v>166</v>
      </c>
      <c r="C159" s="10" t="s">
        <v>9</v>
      </c>
      <c r="D159" s="10">
        <v>5</v>
      </c>
      <c r="E159" s="11">
        <v>126.14899165999998</v>
      </c>
      <c r="F159" s="10">
        <v>661</v>
      </c>
      <c r="G159" s="11">
        <v>0.75861009892495646</v>
      </c>
      <c r="H159" s="12">
        <v>0</v>
      </c>
      <c r="I159" s="10">
        <v>2</v>
      </c>
      <c r="J159" s="10">
        <v>2</v>
      </c>
      <c r="K159" s="14">
        <v>32015</v>
      </c>
      <c r="L159" s="14">
        <v>32062</v>
      </c>
      <c r="M159" s="14">
        <v>6713</v>
      </c>
      <c r="N159" s="15">
        <v>117.0566</v>
      </c>
      <c r="O159" s="11">
        <f t="shared" si="2"/>
        <v>273.50017000322919</v>
      </c>
      <c r="P159" s="10">
        <v>5</v>
      </c>
      <c r="Q159" s="16">
        <v>16619</v>
      </c>
      <c r="R159" s="11">
        <v>32472967.539999988</v>
      </c>
      <c r="S159" s="17">
        <v>73.267121870473829</v>
      </c>
      <c r="T159" s="10">
        <v>0</v>
      </c>
      <c r="U159" s="12">
        <v>8.8894583974030404E-3</v>
      </c>
      <c r="V159" s="14">
        <v>2861</v>
      </c>
      <c r="W159" s="11">
        <v>9203.8067999999912</v>
      </c>
      <c r="X159" s="18">
        <v>825</v>
      </c>
    </row>
    <row r="160" spans="1:24" ht="15" customHeight="1" x14ac:dyDescent="0.3">
      <c r="A160" s="9">
        <v>35026</v>
      </c>
      <c r="B160" s="9" t="s">
        <v>167</v>
      </c>
      <c r="C160" s="10" t="s">
        <v>7</v>
      </c>
      <c r="D160" s="10">
        <v>1</v>
      </c>
      <c r="E160" s="11">
        <v>75.190726010000006</v>
      </c>
      <c r="F160" s="10">
        <v>573</v>
      </c>
      <c r="G160" s="11">
        <v>0.8966151175146494</v>
      </c>
      <c r="H160" s="12">
        <v>0</v>
      </c>
      <c r="I160" s="10">
        <v>0</v>
      </c>
      <c r="J160" s="13">
        <v>0</v>
      </c>
      <c r="K160" s="14">
        <v>8496</v>
      </c>
      <c r="L160" s="14">
        <v>9169</v>
      </c>
      <c r="M160" s="14">
        <v>1595</v>
      </c>
      <c r="N160" s="15">
        <v>38.536700000000003</v>
      </c>
      <c r="O160" s="11">
        <f t="shared" si="2"/>
        <v>220.46516697070584</v>
      </c>
      <c r="P160" s="10">
        <v>0</v>
      </c>
      <c r="Q160" s="16">
        <v>15335</v>
      </c>
      <c r="R160" s="11">
        <v>8462576.6100000069</v>
      </c>
      <c r="S160" s="17">
        <v>71.442574742689104</v>
      </c>
      <c r="T160" s="10">
        <v>0</v>
      </c>
      <c r="U160" s="12">
        <v>9.3323819408406852E-2</v>
      </c>
      <c r="V160" s="14">
        <v>554</v>
      </c>
      <c r="W160" s="11">
        <v>2349.8623999999991</v>
      </c>
      <c r="X160" s="18">
        <v>164</v>
      </c>
    </row>
    <row r="161" spans="1:24" ht="15" customHeight="1" x14ac:dyDescent="0.3">
      <c r="A161" s="9">
        <v>99022</v>
      </c>
      <c r="B161" s="9" t="s">
        <v>168</v>
      </c>
      <c r="C161" s="10" t="s">
        <v>30</v>
      </c>
      <c r="D161" s="10">
        <v>1</v>
      </c>
      <c r="E161" s="11">
        <v>0.82937466199999976</v>
      </c>
      <c r="F161" s="10">
        <v>676</v>
      </c>
      <c r="G161" s="11">
        <v>0.32177675373441378</v>
      </c>
      <c r="H161" s="12">
        <v>0</v>
      </c>
      <c r="I161" s="10">
        <v>0</v>
      </c>
      <c r="J161" s="13">
        <v>0</v>
      </c>
      <c r="K161" s="14">
        <v>801</v>
      </c>
      <c r="L161" s="14">
        <v>848</v>
      </c>
      <c r="M161" s="14">
        <v>151</v>
      </c>
      <c r="N161" s="15">
        <v>24.2759</v>
      </c>
      <c r="O161" s="11">
        <f t="shared" si="2"/>
        <v>32.995687080602572</v>
      </c>
      <c r="P161" s="10">
        <v>13</v>
      </c>
      <c r="Q161" s="16">
        <v>11048</v>
      </c>
      <c r="R161" s="11">
        <v>827876.24</v>
      </c>
      <c r="S161" s="17">
        <v>71.932515337423311</v>
      </c>
      <c r="T161" s="10">
        <v>1</v>
      </c>
      <c r="U161" s="12">
        <v>0.38961696869851725</v>
      </c>
      <c r="V161" s="14">
        <v>38</v>
      </c>
      <c r="W161" s="11">
        <v>1377.4309000000001</v>
      </c>
      <c r="X161" s="18">
        <v>67</v>
      </c>
    </row>
    <row r="162" spans="1:24" ht="15" customHeight="1" x14ac:dyDescent="0.3">
      <c r="A162" s="9">
        <v>37035</v>
      </c>
      <c r="B162" s="9" t="s">
        <v>169</v>
      </c>
      <c r="C162" s="10" t="s">
        <v>13</v>
      </c>
      <c r="D162" s="10">
        <v>4</v>
      </c>
      <c r="E162" s="11">
        <v>68.217889961000012</v>
      </c>
      <c r="F162" s="10">
        <v>617</v>
      </c>
      <c r="G162" s="11">
        <v>0.74742911619800756</v>
      </c>
      <c r="H162" s="12">
        <v>0</v>
      </c>
      <c r="I162" s="10">
        <v>0</v>
      </c>
      <c r="J162" s="13">
        <v>0</v>
      </c>
      <c r="K162" s="14">
        <v>9130</v>
      </c>
      <c r="L162" s="14">
        <v>8771</v>
      </c>
      <c r="M162" s="14">
        <v>1568</v>
      </c>
      <c r="N162" s="15">
        <v>53.817100000000003</v>
      </c>
      <c r="O162" s="11">
        <f t="shared" si="2"/>
        <v>169.64868043800203</v>
      </c>
      <c r="P162" s="10">
        <v>5</v>
      </c>
      <c r="Q162" s="16">
        <v>16098</v>
      </c>
      <c r="R162" s="11">
        <v>7787123.1399999997</v>
      </c>
      <c r="S162" s="17">
        <v>70.461493667200472</v>
      </c>
      <c r="T162" s="10">
        <v>0</v>
      </c>
      <c r="U162" s="12">
        <v>4.1107395020438503E-2</v>
      </c>
      <c r="V162" s="14">
        <v>679</v>
      </c>
      <c r="W162" s="11">
        <v>4330.0875000000005</v>
      </c>
      <c r="X162" s="18">
        <v>176</v>
      </c>
    </row>
    <row r="163" spans="1:24" ht="15" customHeight="1" x14ac:dyDescent="0.3">
      <c r="A163" s="9">
        <v>36019</v>
      </c>
      <c r="B163" s="9" t="s">
        <v>170</v>
      </c>
      <c r="C163" s="10" t="s">
        <v>27</v>
      </c>
      <c r="D163" s="10">
        <v>9</v>
      </c>
      <c r="E163" s="11">
        <v>246.11034348200002</v>
      </c>
      <c r="F163" s="10">
        <v>683</v>
      </c>
      <c r="G163" s="11">
        <v>0.70812394004116408</v>
      </c>
      <c r="H163" s="12">
        <v>0</v>
      </c>
      <c r="I163" s="10">
        <v>0</v>
      </c>
      <c r="J163" s="10">
        <v>1</v>
      </c>
      <c r="K163" s="14">
        <v>17307</v>
      </c>
      <c r="L163" s="14">
        <v>16622</v>
      </c>
      <c r="M163" s="14">
        <v>2868</v>
      </c>
      <c r="N163" s="15">
        <v>32.581299999999999</v>
      </c>
      <c r="O163" s="11">
        <f t="shared" si="2"/>
        <v>531.19427401607675</v>
      </c>
      <c r="P163" s="10">
        <v>4</v>
      </c>
      <c r="Q163" s="16">
        <v>17745</v>
      </c>
      <c r="R163" s="11">
        <v>31153957.84</v>
      </c>
      <c r="S163" s="17">
        <v>72.504848575264802</v>
      </c>
      <c r="T163" s="10">
        <v>0</v>
      </c>
      <c r="U163" s="12">
        <v>0.11716697360343771</v>
      </c>
      <c r="V163" s="14">
        <v>1351</v>
      </c>
      <c r="W163" s="11">
        <v>1798.5501999999997</v>
      </c>
      <c r="X163" s="18">
        <v>149</v>
      </c>
    </row>
    <row r="164" spans="1:24" ht="15" customHeight="1" x14ac:dyDescent="0.3">
      <c r="A164" s="9">
        <v>36020</v>
      </c>
      <c r="B164" s="9" t="s">
        <v>171</v>
      </c>
      <c r="C164" s="10" t="s">
        <v>27</v>
      </c>
      <c r="D164" s="10">
        <v>3</v>
      </c>
      <c r="E164" s="11">
        <v>26.272657883000001</v>
      </c>
      <c r="F164" s="10">
        <v>650</v>
      </c>
      <c r="G164" s="11">
        <v>0.89115415902819128</v>
      </c>
      <c r="H164" s="12">
        <v>3.4099999999999998E-2</v>
      </c>
      <c r="I164" s="10">
        <v>0</v>
      </c>
      <c r="J164" s="13">
        <v>0</v>
      </c>
      <c r="K164" s="14">
        <v>5291</v>
      </c>
      <c r="L164" s="14">
        <v>4787</v>
      </c>
      <c r="M164" s="14">
        <v>834</v>
      </c>
      <c r="N164" s="15">
        <v>45.466099999999997</v>
      </c>
      <c r="O164" s="11">
        <f t="shared" si="2"/>
        <v>116.37241813131102</v>
      </c>
      <c r="P164" s="10">
        <v>40</v>
      </c>
      <c r="Q164" s="16">
        <v>16258</v>
      </c>
      <c r="R164" s="11">
        <v>4713743.7200000007</v>
      </c>
      <c r="S164" s="17">
        <v>71.117375704766786</v>
      </c>
      <c r="T164" s="10">
        <v>0</v>
      </c>
      <c r="U164" s="12">
        <v>0.25840994062018913</v>
      </c>
      <c r="V164" s="14">
        <v>381</v>
      </c>
      <c r="W164" s="11">
        <v>2841.0307000000007</v>
      </c>
      <c r="X164" s="18">
        <v>169</v>
      </c>
    </row>
    <row r="165" spans="1:24" ht="15" customHeight="1" x14ac:dyDescent="0.3">
      <c r="A165" s="9">
        <v>37036</v>
      </c>
      <c r="B165" s="9" t="s">
        <v>172</v>
      </c>
      <c r="C165" s="10" t="s">
        <v>13</v>
      </c>
      <c r="D165" s="10">
        <v>10</v>
      </c>
      <c r="E165" s="11">
        <v>37.341309309999993</v>
      </c>
      <c r="F165" s="10">
        <v>620</v>
      </c>
      <c r="G165" s="11">
        <v>0.53468479298136729</v>
      </c>
      <c r="H165" s="12">
        <v>0.19750000000000001</v>
      </c>
      <c r="I165" s="10">
        <v>3</v>
      </c>
      <c r="J165" s="13">
        <v>0</v>
      </c>
      <c r="K165" s="14">
        <v>6856</v>
      </c>
      <c r="L165" s="14">
        <v>6684</v>
      </c>
      <c r="M165" s="14">
        <v>1264</v>
      </c>
      <c r="N165" s="15">
        <v>74.5274</v>
      </c>
      <c r="O165" s="11">
        <f t="shared" si="2"/>
        <v>91.993011966068849</v>
      </c>
      <c r="P165" s="10">
        <v>20</v>
      </c>
      <c r="Q165" s="16">
        <v>16751</v>
      </c>
      <c r="R165" s="11">
        <v>6830513.799999998</v>
      </c>
      <c r="S165" s="17">
        <v>72.210526315789465</v>
      </c>
      <c r="T165" s="10">
        <v>0</v>
      </c>
      <c r="U165" s="12">
        <v>0.65677579498188643</v>
      </c>
      <c r="V165" s="14">
        <v>413</v>
      </c>
      <c r="W165" s="11">
        <v>3180.9110000000001</v>
      </c>
      <c r="X165" s="18">
        <v>120</v>
      </c>
    </row>
    <row r="166" spans="1:24" ht="15" customHeight="1" x14ac:dyDescent="0.3">
      <c r="A166" s="9">
        <v>38012</v>
      </c>
      <c r="B166" s="9" t="s">
        <v>173</v>
      </c>
      <c r="C166" s="10" t="s">
        <v>17</v>
      </c>
      <c r="D166" s="10">
        <v>1</v>
      </c>
      <c r="E166" s="11">
        <v>12.724923042</v>
      </c>
      <c r="F166" s="10">
        <v>646</v>
      </c>
      <c r="G166" s="11">
        <v>0.7571554288614265</v>
      </c>
      <c r="H166" s="12">
        <v>0</v>
      </c>
      <c r="I166" s="10">
        <v>0</v>
      </c>
      <c r="J166" s="13">
        <v>0</v>
      </c>
      <c r="K166" s="14">
        <v>2292</v>
      </c>
      <c r="L166" s="14">
        <v>2368</v>
      </c>
      <c r="M166" s="14">
        <v>523</v>
      </c>
      <c r="N166" s="15">
        <v>22.7074</v>
      </c>
      <c r="O166" s="11">
        <f t="shared" si="2"/>
        <v>100.9362586645763</v>
      </c>
      <c r="P166" s="10">
        <v>0</v>
      </c>
      <c r="Q166" s="16">
        <v>15535</v>
      </c>
      <c r="R166" s="11">
        <v>1580299.0600000005</v>
      </c>
      <c r="S166" s="17">
        <v>75.904916261480281</v>
      </c>
      <c r="T166" s="10">
        <v>1</v>
      </c>
      <c r="U166" s="12">
        <v>7.7807133421400271E-3</v>
      </c>
      <c r="V166" s="14">
        <v>148</v>
      </c>
      <c r="W166" s="11">
        <v>2044.896099999999</v>
      </c>
      <c r="X166" s="18">
        <v>98</v>
      </c>
    </row>
    <row r="167" spans="1:24" ht="15" customHeight="1" x14ac:dyDescent="0.3">
      <c r="A167" s="9">
        <v>39013</v>
      </c>
      <c r="B167" s="9" t="s">
        <v>174</v>
      </c>
      <c r="C167" s="10" t="s">
        <v>9</v>
      </c>
      <c r="D167" s="10">
        <v>1</v>
      </c>
      <c r="E167" s="11">
        <v>31.110336675999999</v>
      </c>
      <c r="F167" s="10">
        <v>626</v>
      </c>
      <c r="G167" s="11">
        <v>0.82315866136814497</v>
      </c>
      <c r="H167" s="12">
        <v>0</v>
      </c>
      <c r="I167" s="10">
        <v>1</v>
      </c>
      <c r="J167" s="13">
        <v>0</v>
      </c>
      <c r="K167" s="14">
        <v>10604</v>
      </c>
      <c r="L167" s="14">
        <v>10449</v>
      </c>
      <c r="M167" s="14">
        <v>1899</v>
      </c>
      <c r="N167" s="15">
        <v>37.2485</v>
      </c>
      <c r="O167" s="11">
        <f t="shared" si="2"/>
        <v>284.68260466864439</v>
      </c>
      <c r="P167" s="10">
        <v>2</v>
      </c>
      <c r="Q167" s="16">
        <v>14542</v>
      </c>
      <c r="R167" s="11">
        <v>11329410.830000002</v>
      </c>
      <c r="S167" s="17">
        <v>70.191773207337405</v>
      </c>
      <c r="T167" s="10">
        <v>0</v>
      </c>
      <c r="U167" s="12">
        <v>1.2483221476510068E-2</v>
      </c>
      <c r="V167" s="14">
        <v>603</v>
      </c>
      <c r="W167" s="11">
        <v>2177.0232000000015</v>
      </c>
      <c r="X167" s="18">
        <v>134</v>
      </c>
    </row>
    <row r="168" spans="1:24" ht="15" customHeight="1" x14ac:dyDescent="0.3">
      <c r="A168" s="9">
        <v>34020</v>
      </c>
      <c r="B168" s="9" t="s">
        <v>175</v>
      </c>
      <c r="C168" s="10" t="s">
        <v>5</v>
      </c>
      <c r="D168" s="10">
        <v>5</v>
      </c>
      <c r="E168" s="11">
        <v>69.554059838000001</v>
      </c>
      <c r="F168" s="10">
        <v>673</v>
      </c>
      <c r="G168" s="11">
        <v>0.85485761453046538</v>
      </c>
      <c r="H168" s="12">
        <v>6.4100000000000004E-2</v>
      </c>
      <c r="I168" s="10">
        <v>2</v>
      </c>
      <c r="J168" s="10">
        <v>1</v>
      </c>
      <c r="K168" s="14">
        <v>10687</v>
      </c>
      <c r="L168" s="14">
        <v>10663</v>
      </c>
      <c r="M168" s="14">
        <v>1808</v>
      </c>
      <c r="N168" s="15">
        <v>88.769599999999997</v>
      </c>
      <c r="O168" s="11">
        <f t="shared" si="2"/>
        <v>120.39031380112111</v>
      </c>
      <c r="P168" s="10">
        <v>14.000000000000002</v>
      </c>
      <c r="Q168" s="16">
        <v>16038</v>
      </c>
      <c r="R168" s="11">
        <v>9142456.77999999</v>
      </c>
      <c r="S168" s="17">
        <v>68.991006529505967</v>
      </c>
      <c r="T168" s="10">
        <v>0</v>
      </c>
      <c r="U168" s="12">
        <v>0.40633772670947393</v>
      </c>
      <c r="V168" s="14">
        <v>711</v>
      </c>
      <c r="W168" s="11">
        <v>4818.2583000000041</v>
      </c>
      <c r="X168" s="18">
        <v>216</v>
      </c>
    </row>
    <row r="169" spans="1:24" ht="15" customHeight="1" x14ac:dyDescent="0.3">
      <c r="A169" s="9">
        <v>37037</v>
      </c>
      <c r="B169" s="9" t="s">
        <v>176</v>
      </c>
      <c r="C169" s="10" t="s">
        <v>13</v>
      </c>
      <c r="D169" s="10">
        <v>1</v>
      </c>
      <c r="E169" s="11">
        <v>69.114211170000004</v>
      </c>
      <c r="F169" s="10">
        <v>632</v>
      </c>
      <c r="G169" s="11">
        <v>0.73216471122413329</v>
      </c>
      <c r="H169" s="12">
        <v>0</v>
      </c>
      <c r="I169" s="10">
        <v>0</v>
      </c>
      <c r="J169" s="13">
        <v>0</v>
      </c>
      <c r="K169" s="14">
        <v>16625</v>
      </c>
      <c r="L169" s="14">
        <v>16526</v>
      </c>
      <c r="M169" s="14">
        <v>2847</v>
      </c>
      <c r="N169" s="15">
        <v>159.10810000000001</v>
      </c>
      <c r="O169" s="11">
        <f t="shared" si="2"/>
        <v>104.48870924861775</v>
      </c>
      <c r="P169" s="10">
        <v>28.000000000000004</v>
      </c>
      <c r="Q169" s="16">
        <v>16365</v>
      </c>
      <c r="R169" s="11">
        <v>14787921.329999998</v>
      </c>
      <c r="S169" s="17">
        <v>72.962413065562231</v>
      </c>
      <c r="T169" s="10">
        <v>0</v>
      </c>
      <c r="U169" s="12">
        <v>3.0997423166362892E-3</v>
      </c>
      <c r="V169" s="14">
        <v>1196</v>
      </c>
      <c r="W169" s="11">
        <v>15186.51149999999</v>
      </c>
      <c r="X169" s="18">
        <v>388</v>
      </c>
    </row>
    <row r="170" spans="1:24" ht="15" customHeight="1" x14ac:dyDescent="0.3">
      <c r="A170" s="9">
        <v>36021</v>
      </c>
      <c r="B170" s="9" t="s">
        <v>177</v>
      </c>
      <c r="C170" s="10" t="s">
        <v>27</v>
      </c>
      <c r="D170" s="10">
        <v>3</v>
      </c>
      <c r="E170" s="11">
        <v>74.007114669999993</v>
      </c>
      <c r="F170" s="10">
        <v>652</v>
      </c>
      <c r="G170" s="11">
        <v>0.9443451726998956</v>
      </c>
      <c r="H170" s="12">
        <v>0</v>
      </c>
      <c r="I170" s="10">
        <v>0</v>
      </c>
      <c r="J170" s="10">
        <v>1</v>
      </c>
      <c r="K170" s="14">
        <v>6438</v>
      </c>
      <c r="L170" s="14">
        <v>6322</v>
      </c>
      <c r="M170" s="14">
        <v>1144</v>
      </c>
      <c r="N170" s="15">
        <v>26.996400000000001</v>
      </c>
      <c r="O170" s="11">
        <f t="shared" si="2"/>
        <v>238.47624127661464</v>
      </c>
      <c r="P170" s="10">
        <v>7.0000000000000009</v>
      </c>
      <c r="Q170" s="16">
        <v>17518</v>
      </c>
      <c r="R170" s="11">
        <v>7589428.9099999992</v>
      </c>
      <c r="S170" s="17">
        <v>77.531966714024762</v>
      </c>
      <c r="T170" s="10">
        <v>0</v>
      </c>
      <c r="U170" s="12">
        <v>1.7951851851851851E-2</v>
      </c>
      <c r="V170" s="14">
        <v>544</v>
      </c>
      <c r="W170" s="11">
        <v>2067.0452</v>
      </c>
      <c r="X170" s="18">
        <v>168</v>
      </c>
    </row>
    <row r="171" spans="1:24" ht="15" customHeight="1" x14ac:dyDescent="0.3">
      <c r="A171" s="9">
        <v>40019</v>
      </c>
      <c r="B171" s="9" t="s">
        <v>178</v>
      </c>
      <c r="C171" s="10" t="s">
        <v>21</v>
      </c>
      <c r="D171" s="10">
        <v>3</v>
      </c>
      <c r="E171" s="11">
        <v>49.14426323</v>
      </c>
      <c r="F171" s="10">
        <v>677</v>
      </c>
      <c r="G171" s="11">
        <v>0.80353471453424008</v>
      </c>
      <c r="H171" s="12">
        <v>3.7000000000000002E-3</v>
      </c>
      <c r="I171" s="10">
        <v>0</v>
      </c>
      <c r="J171" s="13">
        <v>0</v>
      </c>
      <c r="K171" s="14">
        <v>9879</v>
      </c>
      <c r="L171" s="14">
        <v>10000</v>
      </c>
      <c r="M171" s="14">
        <v>1913</v>
      </c>
      <c r="N171" s="15">
        <v>79.078699999999998</v>
      </c>
      <c r="O171" s="11">
        <f t="shared" si="2"/>
        <v>124.92618113347842</v>
      </c>
      <c r="P171" s="10">
        <v>25</v>
      </c>
      <c r="Q171" s="16">
        <v>14708</v>
      </c>
      <c r="R171" s="11">
        <v>10008964.539999995</v>
      </c>
      <c r="S171" s="17">
        <v>68.040540540540533</v>
      </c>
      <c r="T171" s="10">
        <v>0</v>
      </c>
      <c r="U171" s="12">
        <v>0.21394916540212444</v>
      </c>
      <c r="V171" s="14">
        <v>634</v>
      </c>
      <c r="W171" s="11">
        <v>5811.613600000006</v>
      </c>
      <c r="X171" s="18">
        <v>413</v>
      </c>
    </row>
    <row r="172" spans="1:24" ht="15" customHeight="1" x14ac:dyDescent="0.3">
      <c r="A172" s="9">
        <v>40020</v>
      </c>
      <c r="B172" s="9" t="s">
        <v>179</v>
      </c>
      <c r="C172" s="10" t="s">
        <v>21</v>
      </c>
      <c r="D172" s="10">
        <v>7</v>
      </c>
      <c r="E172" s="11">
        <v>25.636924497999999</v>
      </c>
      <c r="F172" s="10">
        <v>626</v>
      </c>
      <c r="G172" s="11">
        <v>0.8792403380415269</v>
      </c>
      <c r="H172" s="12">
        <v>0</v>
      </c>
      <c r="I172" s="10">
        <v>0</v>
      </c>
      <c r="J172" s="13">
        <v>0</v>
      </c>
      <c r="K172" s="14">
        <v>6797</v>
      </c>
      <c r="L172" s="14">
        <v>6997</v>
      </c>
      <c r="M172" s="14">
        <v>1181</v>
      </c>
      <c r="N172" s="15">
        <v>99.331900000000005</v>
      </c>
      <c r="O172" s="11">
        <f t="shared" si="2"/>
        <v>68.427161868443065</v>
      </c>
      <c r="P172" s="10">
        <v>43</v>
      </c>
      <c r="Q172" s="16">
        <v>14393</v>
      </c>
      <c r="R172" s="11">
        <v>6673331.0200000005</v>
      </c>
      <c r="S172" s="17">
        <v>71.019852082522377</v>
      </c>
      <c r="T172" s="10">
        <v>0</v>
      </c>
      <c r="U172" s="12">
        <v>0.42870532568206987</v>
      </c>
      <c r="V172" s="14">
        <v>553</v>
      </c>
      <c r="W172" s="11">
        <v>6827.3935999999985</v>
      </c>
      <c r="X172" s="18">
        <v>266</v>
      </c>
    </row>
    <row r="173" spans="1:24" ht="15" customHeight="1" x14ac:dyDescent="0.3">
      <c r="A173" s="9">
        <v>38014</v>
      </c>
      <c r="B173" s="9" t="s">
        <v>180</v>
      </c>
      <c r="C173" s="10" t="s">
        <v>17</v>
      </c>
      <c r="D173" s="10">
        <v>2</v>
      </c>
      <c r="E173" s="11">
        <v>125.882548743</v>
      </c>
      <c r="F173" s="10">
        <v>706</v>
      </c>
      <c r="G173" s="11">
        <v>0.74740929153181113</v>
      </c>
      <c r="H173" s="12">
        <v>0.27399999999999997</v>
      </c>
      <c r="I173" s="10">
        <v>0</v>
      </c>
      <c r="J173" s="13">
        <v>0</v>
      </c>
      <c r="K173" s="14">
        <v>6454</v>
      </c>
      <c r="L173" s="14">
        <v>7140</v>
      </c>
      <c r="M173" s="14">
        <v>1582</v>
      </c>
      <c r="N173" s="15">
        <v>84.307299999999998</v>
      </c>
      <c r="O173" s="11">
        <f t="shared" si="2"/>
        <v>76.553275932214646</v>
      </c>
      <c r="P173" s="10">
        <v>39</v>
      </c>
      <c r="Q173" s="16">
        <v>12366</v>
      </c>
      <c r="R173" s="11">
        <v>7490436.7899999963</v>
      </c>
      <c r="S173" s="17">
        <v>64.586010648063152</v>
      </c>
      <c r="T173" s="10">
        <v>0</v>
      </c>
      <c r="U173" s="12">
        <v>0.14994662554857077</v>
      </c>
      <c r="V173" s="14">
        <v>427</v>
      </c>
      <c r="W173" s="11">
        <v>6367.0614999999989</v>
      </c>
      <c r="X173" s="18">
        <v>282</v>
      </c>
    </row>
    <row r="174" spans="1:24" ht="15" customHeight="1" x14ac:dyDescent="0.3">
      <c r="A174" s="9">
        <v>37038</v>
      </c>
      <c r="B174" s="9" t="s">
        <v>181</v>
      </c>
      <c r="C174" s="10" t="s">
        <v>13</v>
      </c>
      <c r="D174" s="10">
        <v>4</v>
      </c>
      <c r="E174" s="11">
        <v>187.370169097</v>
      </c>
      <c r="F174" s="10">
        <v>642</v>
      </c>
      <c r="G174" s="11">
        <v>0.69715937239268744</v>
      </c>
      <c r="H174" s="12">
        <v>0</v>
      </c>
      <c r="I174" s="10">
        <v>0</v>
      </c>
      <c r="J174" s="10">
        <v>1</v>
      </c>
      <c r="K174" s="14">
        <v>8870</v>
      </c>
      <c r="L174" s="14">
        <v>8674</v>
      </c>
      <c r="M174" s="14">
        <v>1486</v>
      </c>
      <c r="N174" s="15">
        <v>43.067</v>
      </c>
      <c r="O174" s="11">
        <f t="shared" si="2"/>
        <v>205.95815821858963</v>
      </c>
      <c r="P174" s="10">
        <v>11</v>
      </c>
      <c r="Q174" s="16">
        <v>17412</v>
      </c>
      <c r="R174" s="11">
        <v>6931250.7299999986</v>
      </c>
      <c r="S174" s="17">
        <v>72.82399881779223</v>
      </c>
      <c r="T174" s="10">
        <v>0</v>
      </c>
      <c r="U174" s="12">
        <v>1.5792895286742509E-2</v>
      </c>
      <c r="V174" s="14">
        <v>673</v>
      </c>
      <c r="W174" s="11">
        <v>3443.9935999999957</v>
      </c>
      <c r="X174" s="18">
        <v>198</v>
      </c>
    </row>
    <row r="175" spans="1:24" ht="15" customHeight="1" x14ac:dyDescent="0.3">
      <c r="A175" s="9">
        <v>36022</v>
      </c>
      <c r="B175" s="9" t="s">
        <v>182</v>
      </c>
      <c r="C175" s="10" t="s">
        <v>27</v>
      </c>
      <c r="D175" s="10">
        <v>3</v>
      </c>
      <c r="E175" s="11">
        <v>170.52784284999998</v>
      </c>
      <c r="F175" s="10">
        <v>685</v>
      </c>
      <c r="G175" s="11">
        <v>0.90059503938377206</v>
      </c>
      <c r="H175" s="12">
        <v>0</v>
      </c>
      <c r="I175" s="10">
        <v>1</v>
      </c>
      <c r="J175" s="10">
        <v>1</v>
      </c>
      <c r="K175" s="14">
        <v>24085</v>
      </c>
      <c r="L175" s="14">
        <v>23960</v>
      </c>
      <c r="M175" s="14">
        <v>4341</v>
      </c>
      <c r="N175" s="15">
        <v>137.0908</v>
      </c>
      <c r="O175" s="11">
        <f t="shared" si="2"/>
        <v>175.68647932611086</v>
      </c>
      <c r="P175" s="10">
        <v>17</v>
      </c>
      <c r="Q175" s="16">
        <v>17297</v>
      </c>
      <c r="R175" s="11">
        <v>29840401.849999998</v>
      </c>
      <c r="S175" s="17">
        <v>73.230891358584714</v>
      </c>
      <c r="T175" s="10">
        <v>0</v>
      </c>
      <c r="U175" s="12">
        <v>5.4963892333503529E-3</v>
      </c>
      <c r="V175" s="14">
        <v>2138</v>
      </c>
      <c r="W175" s="11">
        <v>11147.093399999996</v>
      </c>
      <c r="X175" s="18">
        <v>519</v>
      </c>
    </row>
    <row r="176" spans="1:24" ht="15" customHeight="1" x14ac:dyDescent="0.3">
      <c r="A176" s="9">
        <v>99005</v>
      </c>
      <c r="B176" s="9" t="s">
        <v>183</v>
      </c>
      <c r="C176" s="10" t="s">
        <v>30</v>
      </c>
      <c r="D176" s="10">
        <v>0</v>
      </c>
      <c r="E176" s="11">
        <v>63.332646996000001</v>
      </c>
      <c r="F176" s="10">
        <v>660</v>
      </c>
      <c r="G176" s="11">
        <v>0.84375834912147318</v>
      </c>
      <c r="H176" s="12">
        <v>0</v>
      </c>
      <c r="I176" s="10">
        <v>1</v>
      </c>
      <c r="J176" s="13">
        <v>0</v>
      </c>
      <c r="K176" s="14">
        <v>13948</v>
      </c>
      <c r="L176" s="14">
        <v>12252</v>
      </c>
      <c r="M176" s="14">
        <v>2167</v>
      </c>
      <c r="N176" s="15">
        <v>22.345300000000002</v>
      </c>
      <c r="O176" s="11">
        <f t="shared" si="2"/>
        <v>624.20285250142081</v>
      </c>
      <c r="P176" s="10">
        <v>9</v>
      </c>
      <c r="Q176" s="16">
        <v>13813</v>
      </c>
      <c r="R176" s="11">
        <v>23640878.430000003</v>
      </c>
      <c r="S176" s="17">
        <v>68.0429705744979</v>
      </c>
      <c r="T176" s="10">
        <v>0</v>
      </c>
      <c r="U176" s="12">
        <v>2.1758389261744965E-2</v>
      </c>
      <c r="V176" s="14">
        <v>1577</v>
      </c>
      <c r="W176" s="11">
        <v>864.41129999999987</v>
      </c>
      <c r="X176" s="18">
        <v>159</v>
      </c>
    </row>
    <row r="177" spans="1:24" ht="15" customHeight="1" x14ac:dyDescent="0.3">
      <c r="A177" s="9">
        <v>36023</v>
      </c>
      <c r="B177" s="9" t="s">
        <v>27</v>
      </c>
      <c r="C177" s="10" t="s">
        <v>27</v>
      </c>
      <c r="D177" s="10">
        <v>11</v>
      </c>
      <c r="E177" s="11">
        <v>1097.3909398399999</v>
      </c>
      <c r="F177" s="10">
        <v>638</v>
      </c>
      <c r="G177" s="11">
        <v>0.61042672375133011</v>
      </c>
      <c r="H177" s="12">
        <v>3.0000000000000001E-3</v>
      </c>
      <c r="I177" s="10">
        <v>1</v>
      </c>
      <c r="J177" s="10">
        <v>1</v>
      </c>
      <c r="K177" s="14">
        <v>184153</v>
      </c>
      <c r="L177" s="14">
        <v>179149</v>
      </c>
      <c r="M177" s="14">
        <v>34454</v>
      </c>
      <c r="N177" s="15">
        <v>183.1935</v>
      </c>
      <c r="O177" s="11">
        <f t="shared" si="2"/>
        <v>1005.2376312478335</v>
      </c>
      <c r="P177" s="10">
        <v>2</v>
      </c>
      <c r="Q177" s="16">
        <v>19376</v>
      </c>
      <c r="R177" s="11">
        <v>266019455.65999997</v>
      </c>
      <c r="S177" s="17">
        <v>74.662212656562943</v>
      </c>
      <c r="T177" s="10">
        <v>0</v>
      </c>
      <c r="U177" s="12">
        <v>3.9908837818658227E-2</v>
      </c>
      <c r="V177" s="14">
        <v>20024</v>
      </c>
      <c r="W177" s="11">
        <v>9931.6777000000075</v>
      </c>
      <c r="X177" s="18">
        <v>625</v>
      </c>
    </row>
    <row r="178" spans="1:24" ht="15" customHeight="1" x14ac:dyDescent="0.3">
      <c r="A178" s="9">
        <v>40022</v>
      </c>
      <c r="B178" s="9" t="s">
        <v>184</v>
      </c>
      <c r="C178" s="10" t="s">
        <v>21</v>
      </c>
      <c r="D178" s="10">
        <v>14</v>
      </c>
      <c r="E178" s="11">
        <v>-0.17105748000000176</v>
      </c>
      <c r="F178" s="10">
        <v>626</v>
      </c>
      <c r="G178" s="11">
        <v>0.84446699134199132</v>
      </c>
      <c r="H178" s="12">
        <v>0</v>
      </c>
      <c r="I178" s="10">
        <v>0</v>
      </c>
      <c r="J178" s="13">
        <v>0</v>
      </c>
      <c r="K178" s="14">
        <v>4288</v>
      </c>
      <c r="L178" s="14">
        <v>4726</v>
      </c>
      <c r="M178" s="14">
        <v>970</v>
      </c>
      <c r="N178" s="15">
        <v>101.16589999999999</v>
      </c>
      <c r="O178" s="11">
        <f t="shared" si="2"/>
        <v>42.385823681695122</v>
      </c>
      <c r="P178" s="10">
        <v>9</v>
      </c>
      <c r="Q178" s="16">
        <v>15983</v>
      </c>
      <c r="R178" s="11">
        <v>5672416.5700000012</v>
      </c>
      <c r="S178" s="17">
        <v>68.981616574263199</v>
      </c>
      <c r="T178" s="10">
        <v>1</v>
      </c>
      <c r="U178" s="12">
        <v>0.57925768508451125</v>
      </c>
      <c r="V178" s="14">
        <v>304</v>
      </c>
      <c r="W178" s="11">
        <v>6851.9974999999959</v>
      </c>
      <c r="X178" s="18">
        <v>206</v>
      </c>
    </row>
    <row r="179" spans="1:24" ht="15" customHeight="1" x14ac:dyDescent="0.3">
      <c r="A179" s="9">
        <v>37039</v>
      </c>
      <c r="B179" s="9" t="s">
        <v>185</v>
      </c>
      <c r="C179" s="10" t="s">
        <v>13</v>
      </c>
      <c r="D179" s="10">
        <v>0</v>
      </c>
      <c r="E179" s="11">
        <v>66.354336869999997</v>
      </c>
      <c r="F179" s="10">
        <v>627</v>
      </c>
      <c r="G179" s="11">
        <v>0.81771116212806139</v>
      </c>
      <c r="H179" s="12">
        <v>0</v>
      </c>
      <c r="I179" s="10">
        <v>0</v>
      </c>
      <c r="J179" s="13">
        <v>0</v>
      </c>
      <c r="K179" s="14">
        <v>15636</v>
      </c>
      <c r="L179" s="14">
        <v>15651</v>
      </c>
      <c r="M179" s="14">
        <v>2747</v>
      </c>
      <c r="N179" s="15">
        <v>127.84220000000001</v>
      </c>
      <c r="O179" s="11">
        <f t="shared" si="2"/>
        <v>122.30703163744053</v>
      </c>
      <c r="P179" s="10">
        <v>25</v>
      </c>
      <c r="Q179" s="16">
        <v>15483</v>
      </c>
      <c r="R179" s="11">
        <v>16677288.17999999</v>
      </c>
      <c r="S179" s="17">
        <v>71.636332709644506</v>
      </c>
      <c r="T179" s="10">
        <v>0</v>
      </c>
      <c r="U179" s="12">
        <v>1.2415519399249061E-2</v>
      </c>
      <c r="V179" s="14">
        <v>1121</v>
      </c>
      <c r="W179" s="11">
        <v>11480.902899999995</v>
      </c>
      <c r="X179" s="18">
        <v>288</v>
      </c>
    </row>
    <row r="180" spans="1:24" ht="15" customHeight="1" x14ac:dyDescent="0.3">
      <c r="A180" s="9">
        <v>34022</v>
      </c>
      <c r="B180" s="9" t="s">
        <v>186</v>
      </c>
      <c r="C180" s="10" t="s">
        <v>5</v>
      </c>
      <c r="D180" s="10">
        <v>1</v>
      </c>
      <c r="E180" s="11">
        <v>-37.841003099999995</v>
      </c>
      <c r="F180" s="10">
        <v>663</v>
      </c>
      <c r="G180" s="11">
        <v>0.56869052687121124</v>
      </c>
      <c r="H180" s="12">
        <v>0.25519999999999998</v>
      </c>
      <c r="I180" s="10">
        <v>0</v>
      </c>
      <c r="J180" s="13">
        <v>0</v>
      </c>
      <c r="K180" s="14">
        <v>841</v>
      </c>
      <c r="L180" s="14">
        <v>985</v>
      </c>
      <c r="M180" s="14">
        <v>281</v>
      </c>
      <c r="N180" s="15">
        <v>69.042599999999993</v>
      </c>
      <c r="O180" s="11">
        <f t="shared" si="2"/>
        <v>12.180885424361193</v>
      </c>
      <c r="P180" s="10">
        <v>97</v>
      </c>
      <c r="Q180" s="16">
        <v>16390</v>
      </c>
      <c r="R180" s="11">
        <v>2675491.7299999991</v>
      </c>
      <c r="S180" s="17">
        <v>66.353887399463801</v>
      </c>
      <c r="T180" s="10">
        <v>1</v>
      </c>
      <c r="U180" s="12">
        <v>0.73175840092699884</v>
      </c>
      <c r="V180" s="14">
        <v>74</v>
      </c>
      <c r="W180" s="11">
        <v>1277.2478000000003</v>
      </c>
      <c r="X180" s="18">
        <v>36</v>
      </c>
    </row>
    <row r="181" spans="1:24" ht="15" customHeight="1" x14ac:dyDescent="0.3">
      <c r="A181" s="9">
        <v>99006</v>
      </c>
      <c r="B181" s="9" t="s">
        <v>187</v>
      </c>
      <c r="C181" s="10" t="s">
        <v>30</v>
      </c>
      <c r="D181" s="10">
        <v>2</v>
      </c>
      <c r="E181" s="11">
        <v>0.33750269600000005</v>
      </c>
      <c r="F181" s="10">
        <v>661</v>
      </c>
      <c r="G181" s="11">
        <v>0.44565933233668986</v>
      </c>
      <c r="H181" s="12">
        <v>0</v>
      </c>
      <c r="I181" s="10">
        <v>0</v>
      </c>
      <c r="J181" s="13">
        <v>0</v>
      </c>
      <c r="K181" s="14">
        <v>1309</v>
      </c>
      <c r="L181" s="14">
        <v>1441</v>
      </c>
      <c r="M181" s="14">
        <v>255</v>
      </c>
      <c r="N181" s="15">
        <v>19.8398</v>
      </c>
      <c r="O181" s="11">
        <f t="shared" si="2"/>
        <v>65.978487686367799</v>
      </c>
      <c r="P181" s="10">
        <v>6</v>
      </c>
      <c r="Q181" s="16">
        <v>12881</v>
      </c>
      <c r="R181" s="11">
        <v>1580428.91</v>
      </c>
      <c r="S181" s="17">
        <v>70.183930300096804</v>
      </c>
      <c r="T181" s="10">
        <v>1</v>
      </c>
      <c r="U181" s="12">
        <v>0.32099798387096773</v>
      </c>
      <c r="V181" s="14">
        <v>93</v>
      </c>
      <c r="W181" s="11">
        <v>1228.9907999999998</v>
      </c>
      <c r="X181" s="18">
        <v>90</v>
      </c>
    </row>
    <row r="182" spans="1:24" ht="15" customHeight="1" x14ac:dyDescent="0.3">
      <c r="A182" s="9">
        <v>37040</v>
      </c>
      <c r="B182" s="9" t="s">
        <v>188</v>
      </c>
      <c r="C182" s="10" t="s">
        <v>13</v>
      </c>
      <c r="D182" s="10">
        <v>4</v>
      </c>
      <c r="E182" s="11">
        <v>-13.550792961999999</v>
      </c>
      <c r="F182" s="10">
        <v>707</v>
      </c>
      <c r="G182" s="11">
        <v>0.51737823724547094</v>
      </c>
      <c r="H182" s="12">
        <v>0</v>
      </c>
      <c r="I182" s="10">
        <v>0</v>
      </c>
      <c r="J182" s="13">
        <v>0</v>
      </c>
      <c r="K182" s="14">
        <v>3804</v>
      </c>
      <c r="L182" s="14">
        <v>3806</v>
      </c>
      <c r="M182" s="14">
        <v>786</v>
      </c>
      <c r="N182" s="15">
        <v>48.2879</v>
      </c>
      <c r="O182" s="11">
        <f t="shared" si="2"/>
        <v>78.777499125039611</v>
      </c>
      <c r="P182" s="10">
        <v>22</v>
      </c>
      <c r="Q182" s="16">
        <v>15634</v>
      </c>
      <c r="R182" s="11">
        <v>4742740.450000002</v>
      </c>
      <c r="S182" s="17">
        <v>69.740346205059922</v>
      </c>
      <c r="T182" s="10">
        <v>1</v>
      </c>
      <c r="U182" s="12">
        <v>0.63890660592255133</v>
      </c>
      <c r="V182" s="14">
        <v>311</v>
      </c>
      <c r="W182" s="11">
        <v>1810.2844000000002</v>
      </c>
      <c r="X182" s="18">
        <v>82</v>
      </c>
    </row>
    <row r="183" spans="1:24" ht="15" customHeight="1" x14ac:dyDescent="0.3">
      <c r="A183" s="9">
        <v>37042</v>
      </c>
      <c r="B183" s="9" t="s">
        <v>189</v>
      </c>
      <c r="C183" s="10" t="s">
        <v>13</v>
      </c>
      <c r="D183" s="10">
        <v>14</v>
      </c>
      <c r="E183" s="11">
        <v>7.7139527899999969</v>
      </c>
      <c r="F183" s="10">
        <v>677</v>
      </c>
      <c r="G183" s="11">
        <v>0.89363603918964352</v>
      </c>
      <c r="H183" s="12">
        <v>0</v>
      </c>
      <c r="I183" s="10">
        <v>0</v>
      </c>
      <c r="J183" s="13">
        <v>0</v>
      </c>
      <c r="K183" s="14">
        <v>10725</v>
      </c>
      <c r="L183" s="14">
        <v>10820</v>
      </c>
      <c r="M183" s="14">
        <v>2029</v>
      </c>
      <c r="N183" s="15">
        <v>74.686800000000005</v>
      </c>
      <c r="O183" s="11">
        <f t="shared" si="2"/>
        <v>143.59967223123763</v>
      </c>
      <c r="P183" s="10">
        <v>27</v>
      </c>
      <c r="Q183" s="16">
        <v>22582</v>
      </c>
      <c r="R183" s="11">
        <v>8807761.6200000048</v>
      </c>
      <c r="S183" s="17">
        <v>77.057270744863999</v>
      </c>
      <c r="T183" s="10">
        <v>0</v>
      </c>
      <c r="U183" s="12">
        <v>0.46635024769045386</v>
      </c>
      <c r="V183" s="14">
        <v>818</v>
      </c>
      <c r="W183" s="11">
        <v>4071.8816000000011</v>
      </c>
      <c r="X183" s="18">
        <v>177</v>
      </c>
    </row>
    <row r="184" spans="1:24" ht="15" customHeight="1" x14ac:dyDescent="0.3">
      <c r="A184" s="9">
        <v>35027</v>
      </c>
      <c r="B184" s="9" t="s">
        <v>190</v>
      </c>
      <c r="C184" s="10" t="s">
        <v>7</v>
      </c>
      <c r="D184" s="10">
        <v>1</v>
      </c>
      <c r="E184" s="11">
        <v>57.041631629999998</v>
      </c>
      <c r="F184" s="10">
        <v>632</v>
      </c>
      <c r="G184" s="11">
        <v>0.84393758072250302</v>
      </c>
      <c r="H184" s="12">
        <v>0</v>
      </c>
      <c r="I184" s="10">
        <v>0</v>
      </c>
      <c r="J184" s="13">
        <v>0</v>
      </c>
      <c r="K184" s="14">
        <v>10398</v>
      </c>
      <c r="L184" s="14">
        <v>10201</v>
      </c>
      <c r="M184" s="14">
        <v>1781</v>
      </c>
      <c r="N184" s="15">
        <v>24.3871</v>
      </c>
      <c r="O184" s="11">
        <f t="shared" si="2"/>
        <v>426.37295947447626</v>
      </c>
      <c r="P184" s="10">
        <v>8</v>
      </c>
      <c r="Q184" s="16">
        <v>17344</v>
      </c>
      <c r="R184" s="11">
        <v>10059133.320000004</v>
      </c>
      <c r="S184" s="17">
        <v>72.967911100012486</v>
      </c>
      <c r="T184" s="10">
        <v>0</v>
      </c>
      <c r="U184" s="12">
        <v>3.6990569905699058E-2</v>
      </c>
      <c r="V184" s="14">
        <v>886</v>
      </c>
      <c r="W184" s="11">
        <v>1491.3979000000006</v>
      </c>
      <c r="X184" s="18">
        <v>126</v>
      </c>
    </row>
    <row r="185" spans="1:24" ht="15" customHeight="1" x14ac:dyDescent="0.3">
      <c r="A185" s="9">
        <v>34023</v>
      </c>
      <c r="B185" s="9" t="s">
        <v>191</v>
      </c>
      <c r="C185" s="10" t="s">
        <v>5</v>
      </c>
      <c r="D185" s="10">
        <v>2</v>
      </c>
      <c r="E185" s="11">
        <v>111.80559557999999</v>
      </c>
      <c r="F185" s="10">
        <v>659</v>
      </c>
      <c r="G185" s="11">
        <v>0.89450219467823566</v>
      </c>
      <c r="H185" s="12">
        <v>0</v>
      </c>
      <c r="I185" s="10">
        <v>0</v>
      </c>
      <c r="J185" s="13">
        <v>0</v>
      </c>
      <c r="K185" s="14">
        <v>11211</v>
      </c>
      <c r="L185" s="14">
        <v>10482</v>
      </c>
      <c r="M185" s="14">
        <v>1995</v>
      </c>
      <c r="N185" s="15">
        <v>48.202300000000001</v>
      </c>
      <c r="O185" s="11">
        <f t="shared" si="2"/>
        <v>232.58226267211316</v>
      </c>
      <c r="P185" s="10">
        <v>11</v>
      </c>
      <c r="Q185" s="16">
        <v>18944</v>
      </c>
      <c r="R185" s="11">
        <v>12036805.140000001</v>
      </c>
      <c r="S185" s="17">
        <v>72.810348920009488</v>
      </c>
      <c r="T185" s="10">
        <v>0</v>
      </c>
      <c r="U185" s="12">
        <v>5.7672199170124484E-2</v>
      </c>
      <c r="V185" s="14">
        <v>875</v>
      </c>
      <c r="W185" s="11">
        <v>3249.1135999999997</v>
      </c>
      <c r="X185" s="18">
        <v>170</v>
      </c>
    </row>
    <row r="186" spans="1:24" ht="15" customHeight="1" x14ac:dyDescent="0.3">
      <c r="A186" s="9">
        <v>99030</v>
      </c>
      <c r="B186" s="9" t="s">
        <v>192</v>
      </c>
      <c r="C186" s="10" t="s">
        <v>30</v>
      </c>
      <c r="D186" s="10">
        <v>0</v>
      </c>
      <c r="E186" s="11">
        <v>-14.532905637166644</v>
      </c>
      <c r="F186" s="10">
        <v>720</v>
      </c>
      <c r="G186" s="11">
        <v>0.46748283303904259</v>
      </c>
      <c r="H186" s="12">
        <v>0.2276</v>
      </c>
      <c r="I186" s="10">
        <v>0</v>
      </c>
      <c r="J186" s="13">
        <v>0</v>
      </c>
      <c r="K186" s="14">
        <v>1028</v>
      </c>
      <c r="L186" s="14">
        <v>1175</v>
      </c>
      <c r="M186" s="14">
        <v>242</v>
      </c>
      <c r="N186" s="15">
        <v>35.812100000000001</v>
      </c>
      <c r="O186" s="11">
        <f t="shared" si="2"/>
        <v>28.705381700598402</v>
      </c>
      <c r="P186" s="22">
        <v>10</v>
      </c>
      <c r="Q186" s="23">
        <v>11369</v>
      </c>
      <c r="R186" s="11">
        <v>1713924.4600000004</v>
      </c>
      <c r="S186" s="17">
        <v>72.190034762456548</v>
      </c>
      <c r="T186" s="10">
        <v>1</v>
      </c>
      <c r="U186" s="12">
        <v>0.37965652052499299</v>
      </c>
      <c r="V186" s="14">
        <v>85</v>
      </c>
      <c r="W186" s="11">
        <v>632.45549999999992</v>
      </c>
      <c r="X186" s="28">
        <v>91</v>
      </c>
    </row>
    <row r="187" spans="1:24" ht="15" customHeight="1" x14ac:dyDescent="0.3">
      <c r="A187" s="9">
        <v>36024</v>
      </c>
      <c r="B187" s="9" t="s">
        <v>193</v>
      </c>
      <c r="C187" s="10" t="s">
        <v>27</v>
      </c>
      <c r="D187" s="10">
        <v>2</v>
      </c>
      <c r="E187" s="11">
        <v>-11.648451875000001</v>
      </c>
      <c r="F187" s="10">
        <v>710</v>
      </c>
      <c r="G187" s="11">
        <v>0.36047044595449063</v>
      </c>
      <c r="H187" s="12">
        <v>0</v>
      </c>
      <c r="I187" s="10">
        <v>0</v>
      </c>
      <c r="J187" s="13">
        <v>0</v>
      </c>
      <c r="K187" s="14">
        <v>930</v>
      </c>
      <c r="L187" s="14">
        <v>1000</v>
      </c>
      <c r="M187" s="14">
        <v>233</v>
      </c>
      <c r="N187" s="15">
        <v>31.221699999999998</v>
      </c>
      <c r="O187" s="11">
        <f t="shared" si="2"/>
        <v>29.786975084636648</v>
      </c>
      <c r="P187" s="10">
        <v>99</v>
      </c>
      <c r="Q187" s="16">
        <v>13619</v>
      </c>
      <c r="R187" s="11">
        <v>2428588.8499999996</v>
      </c>
      <c r="S187" s="17">
        <v>71.034482758620683</v>
      </c>
      <c r="T187" s="10">
        <v>1</v>
      </c>
      <c r="U187" s="12">
        <v>0.70393657911595131</v>
      </c>
      <c r="V187" s="14">
        <v>77</v>
      </c>
      <c r="W187" s="11">
        <v>956.68590000000017</v>
      </c>
      <c r="X187" s="18">
        <v>71</v>
      </c>
    </row>
    <row r="188" spans="1:24" ht="15" customHeight="1" x14ac:dyDescent="0.3">
      <c r="A188" s="9">
        <v>99008</v>
      </c>
      <c r="B188" s="9" t="s">
        <v>194</v>
      </c>
      <c r="C188" s="10" t="s">
        <v>30</v>
      </c>
      <c r="D188" s="10">
        <v>5</v>
      </c>
      <c r="E188" s="11">
        <v>2.6373781119999995</v>
      </c>
      <c r="F188" s="10">
        <v>661</v>
      </c>
      <c r="G188" s="11">
        <v>0.52424846286487004</v>
      </c>
      <c r="H188" s="12">
        <v>0</v>
      </c>
      <c r="I188" s="10">
        <v>0</v>
      </c>
      <c r="J188" s="13">
        <v>0</v>
      </c>
      <c r="K188" s="14">
        <v>2300</v>
      </c>
      <c r="L188" s="14">
        <v>2195</v>
      </c>
      <c r="M188" s="14">
        <v>311</v>
      </c>
      <c r="N188" s="15">
        <v>22.3218</v>
      </c>
      <c r="O188" s="11">
        <f t="shared" si="2"/>
        <v>103.03828544293023</v>
      </c>
      <c r="P188" s="10">
        <v>52</v>
      </c>
      <c r="Q188" s="16">
        <v>12242</v>
      </c>
      <c r="R188" s="11">
        <v>1464804.2300000009</v>
      </c>
      <c r="S188" s="17">
        <v>62.727272727272734</v>
      </c>
      <c r="T188" s="10">
        <v>1</v>
      </c>
      <c r="U188" s="12">
        <v>0.26683243727598566</v>
      </c>
      <c r="V188" s="14">
        <v>141</v>
      </c>
      <c r="W188" s="11">
        <v>1220.857600000001</v>
      </c>
      <c r="X188" s="18">
        <v>131</v>
      </c>
    </row>
    <row r="189" spans="1:24" ht="15" customHeight="1" x14ac:dyDescent="0.3">
      <c r="A189" s="9">
        <v>36025</v>
      </c>
      <c r="B189" s="9" t="s">
        <v>195</v>
      </c>
      <c r="C189" s="10" t="s">
        <v>27</v>
      </c>
      <c r="D189" s="10">
        <v>1</v>
      </c>
      <c r="E189" s="11">
        <v>0.18724188999999836</v>
      </c>
      <c r="F189" s="10">
        <v>669</v>
      </c>
      <c r="G189" s="11">
        <v>0.35281115388361567</v>
      </c>
      <c r="H189" s="12">
        <v>0</v>
      </c>
      <c r="I189" s="10">
        <v>0</v>
      </c>
      <c r="J189" s="13">
        <v>0</v>
      </c>
      <c r="K189" s="14">
        <v>2086</v>
      </c>
      <c r="L189" s="14">
        <v>2253</v>
      </c>
      <c r="M189" s="14">
        <v>555</v>
      </c>
      <c r="N189" s="15">
        <v>45.277700000000003</v>
      </c>
      <c r="O189" s="11">
        <f t="shared" si="2"/>
        <v>46.071244784960363</v>
      </c>
      <c r="P189" s="10">
        <v>31</v>
      </c>
      <c r="Q189" s="16">
        <v>15879</v>
      </c>
      <c r="R189" s="11">
        <v>3444751.6100000013</v>
      </c>
      <c r="S189" s="17">
        <v>68.611435239206529</v>
      </c>
      <c r="T189" s="10">
        <v>1</v>
      </c>
      <c r="U189" s="12">
        <v>0.53567358657243824</v>
      </c>
      <c r="V189" s="14">
        <v>184</v>
      </c>
      <c r="W189" s="11">
        <v>1085.3593000000001</v>
      </c>
      <c r="X189" s="18">
        <v>72</v>
      </c>
    </row>
    <row r="190" spans="1:24" ht="15" customHeight="1" x14ac:dyDescent="0.3">
      <c r="A190" s="9">
        <v>99009</v>
      </c>
      <c r="B190" s="9" t="s">
        <v>196</v>
      </c>
      <c r="C190" s="10" t="s">
        <v>30</v>
      </c>
      <c r="D190" s="10">
        <v>3</v>
      </c>
      <c r="E190" s="11">
        <v>1.8108403020000001</v>
      </c>
      <c r="F190" s="10">
        <v>659</v>
      </c>
      <c r="G190" s="11">
        <v>0.59871006628028789</v>
      </c>
      <c r="H190" s="12">
        <v>0</v>
      </c>
      <c r="I190" s="10">
        <v>0</v>
      </c>
      <c r="J190" s="13">
        <v>0</v>
      </c>
      <c r="K190" s="14">
        <v>994</v>
      </c>
      <c r="L190" s="14">
        <v>1029</v>
      </c>
      <c r="M190" s="14">
        <v>173</v>
      </c>
      <c r="N190" s="15">
        <v>6.9381000000000004</v>
      </c>
      <c r="O190" s="11">
        <f t="shared" si="2"/>
        <v>143.26688862945187</v>
      </c>
      <c r="P190" s="10">
        <v>94</v>
      </c>
      <c r="Q190" s="16">
        <v>12767</v>
      </c>
      <c r="R190" s="11">
        <v>1107143.4099999995</v>
      </c>
      <c r="S190" s="17">
        <v>65.613147914032865</v>
      </c>
      <c r="T190" s="10">
        <v>1</v>
      </c>
      <c r="U190" s="12">
        <v>0.1106916426512968</v>
      </c>
      <c r="V190" s="14">
        <v>80</v>
      </c>
      <c r="W190" s="11">
        <v>402.68630000000013</v>
      </c>
      <c r="X190" s="18">
        <v>62</v>
      </c>
    </row>
    <row r="191" spans="1:24" ht="15" customHeight="1" x14ac:dyDescent="0.3">
      <c r="A191" s="9">
        <v>37041</v>
      </c>
      <c r="B191" s="9" t="s">
        <v>197</v>
      </c>
      <c r="C191" s="10" t="s">
        <v>13</v>
      </c>
      <c r="D191" s="10">
        <v>10</v>
      </c>
      <c r="E191" s="11">
        <v>-7.0917437800000016</v>
      </c>
      <c r="F191" s="10">
        <v>629</v>
      </c>
      <c r="G191" s="11">
        <v>0.44233370326214849</v>
      </c>
      <c r="H191" s="12">
        <v>0</v>
      </c>
      <c r="I191" s="10">
        <v>0</v>
      </c>
      <c r="J191" s="10">
        <v>1</v>
      </c>
      <c r="K191" s="14">
        <v>6090</v>
      </c>
      <c r="L191" s="14">
        <v>5853</v>
      </c>
      <c r="M191" s="14">
        <v>1025</v>
      </c>
      <c r="N191" s="15">
        <v>105.2599</v>
      </c>
      <c r="O191" s="11">
        <f t="shared" si="2"/>
        <v>57.856790667671163</v>
      </c>
      <c r="P191" s="10">
        <v>8</v>
      </c>
      <c r="Q191" s="16">
        <v>16360</v>
      </c>
      <c r="R191" s="11">
        <v>5334757.3300000019</v>
      </c>
      <c r="S191" s="17">
        <v>68.544194107452341</v>
      </c>
      <c r="T191" s="10">
        <v>0</v>
      </c>
      <c r="U191" s="12">
        <v>0.55237222116663498</v>
      </c>
      <c r="V191" s="14">
        <v>431</v>
      </c>
      <c r="W191" s="11">
        <v>7363.4082000000044</v>
      </c>
      <c r="X191" s="18">
        <v>88</v>
      </c>
    </row>
    <row r="192" spans="1:24" ht="15" customHeight="1" x14ac:dyDescent="0.3">
      <c r="A192" s="9">
        <v>99029</v>
      </c>
      <c r="B192" s="27" t="s">
        <v>198</v>
      </c>
      <c r="C192" s="10" t="s">
        <v>30</v>
      </c>
      <c r="D192" s="10">
        <v>6</v>
      </c>
      <c r="E192" s="11">
        <v>17.106300366999999</v>
      </c>
      <c r="F192" s="10">
        <v>631</v>
      </c>
      <c r="G192" s="11">
        <v>0.5230050139132888</v>
      </c>
      <c r="H192" s="12">
        <v>0</v>
      </c>
      <c r="I192" s="10">
        <v>0</v>
      </c>
      <c r="J192" s="13">
        <v>0</v>
      </c>
      <c r="K192" s="14">
        <v>6770</v>
      </c>
      <c r="L192" s="14">
        <v>6606</v>
      </c>
      <c r="M192" s="14">
        <v>832</v>
      </c>
      <c r="N192" s="21">
        <v>32.35</v>
      </c>
      <c r="O192" s="11">
        <f t="shared" si="2"/>
        <v>209.27357032457496</v>
      </c>
      <c r="P192" s="10">
        <v>0</v>
      </c>
      <c r="Q192" s="16">
        <v>11230</v>
      </c>
      <c r="R192" s="11">
        <v>5072528.9000000022</v>
      </c>
      <c r="S192" s="17">
        <v>64.616597673960186</v>
      </c>
      <c r="T192" s="10">
        <v>0</v>
      </c>
      <c r="U192" s="12">
        <v>0.24243456790123458</v>
      </c>
      <c r="V192" s="14">
        <v>388</v>
      </c>
      <c r="W192" s="11">
        <v>1783.1840999999999</v>
      </c>
      <c r="X192" s="18">
        <v>86</v>
      </c>
    </row>
    <row r="193" spans="1:24" ht="15" customHeight="1" x14ac:dyDescent="0.3">
      <c r="A193" s="9">
        <v>36026</v>
      </c>
      <c r="B193" s="9" t="s">
        <v>199</v>
      </c>
      <c r="C193" s="10" t="s">
        <v>27</v>
      </c>
      <c r="D193" s="10">
        <v>4</v>
      </c>
      <c r="E193" s="11">
        <v>-15.41130459</v>
      </c>
      <c r="F193" s="10">
        <v>692</v>
      </c>
      <c r="G193" s="11">
        <v>0.45227210306973431</v>
      </c>
      <c r="H193" s="12">
        <v>0</v>
      </c>
      <c r="I193" s="10">
        <v>0</v>
      </c>
      <c r="J193" s="13">
        <v>0</v>
      </c>
      <c r="K193" s="14">
        <v>3251</v>
      </c>
      <c r="L193" s="14">
        <v>3357</v>
      </c>
      <c r="M193" s="14">
        <v>791</v>
      </c>
      <c r="N193" s="15">
        <v>81.005899999999997</v>
      </c>
      <c r="O193" s="11">
        <f t="shared" si="2"/>
        <v>40.132879210032854</v>
      </c>
      <c r="P193" s="10">
        <v>97</v>
      </c>
      <c r="Q193" s="16">
        <v>14916</v>
      </c>
      <c r="R193" s="11">
        <v>5530992.4100000011</v>
      </c>
      <c r="S193" s="17">
        <v>68.36569579288026</v>
      </c>
      <c r="T193" s="10">
        <v>1</v>
      </c>
      <c r="U193" s="12">
        <v>0.55646957165781996</v>
      </c>
      <c r="V193" s="14">
        <v>293</v>
      </c>
      <c r="W193" s="11">
        <v>3846.1448999999998</v>
      </c>
      <c r="X193" s="18">
        <v>305</v>
      </c>
    </row>
    <row r="194" spans="1:24" ht="15" customHeight="1" x14ac:dyDescent="0.3">
      <c r="A194" s="9">
        <v>40028</v>
      </c>
      <c r="B194" s="9" t="s">
        <v>200</v>
      </c>
      <c r="C194" s="10" t="s">
        <v>21</v>
      </c>
      <c r="D194" s="10">
        <v>3</v>
      </c>
      <c r="E194" s="11">
        <v>3.6646223959999999</v>
      </c>
      <c r="F194" s="10">
        <v>615</v>
      </c>
      <c r="G194" s="11">
        <v>0.86247477319708366</v>
      </c>
      <c r="H194" s="12">
        <v>0</v>
      </c>
      <c r="I194" s="10">
        <v>0</v>
      </c>
      <c r="J194" s="13">
        <v>0</v>
      </c>
      <c r="K194" s="14">
        <v>1705</v>
      </c>
      <c r="L194" s="14">
        <v>1701</v>
      </c>
      <c r="M194" s="14">
        <v>311</v>
      </c>
      <c r="N194" s="15">
        <v>9.2573000000000008</v>
      </c>
      <c r="O194" s="11">
        <f t="shared" ref="O194:O257" si="3">K194/N194</f>
        <v>184.17897227053243</v>
      </c>
      <c r="P194" s="10">
        <v>0</v>
      </c>
      <c r="Q194" s="16">
        <v>13936</v>
      </c>
      <c r="R194" s="11">
        <v>1185885.1500000004</v>
      </c>
      <c r="S194" s="17">
        <v>74.889867841409696</v>
      </c>
      <c r="T194" s="10">
        <v>1</v>
      </c>
      <c r="U194" s="12">
        <v>0.14683585313174946</v>
      </c>
      <c r="V194" s="14">
        <v>88</v>
      </c>
      <c r="W194" s="11">
        <v>599.23349999999971</v>
      </c>
      <c r="X194" s="18">
        <v>123</v>
      </c>
    </row>
    <row r="195" spans="1:24" ht="15" customHeight="1" x14ac:dyDescent="0.3">
      <c r="A195" s="9">
        <v>33027</v>
      </c>
      <c r="B195" s="9" t="s">
        <v>201</v>
      </c>
      <c r="C195" s="10" t="s">
        <v>3</v>
      </c>
      <c r="D195" s="10">
        <v>2</v>
      </c>
      <c r="E195" s="11">
        <v>39.790585190000002</v>
      </c>
      <c r="F195" s="10">
        <v>626</v>
      </c>
      <c r="G195" s="11">
        <v>0.79238318749047187</v>
      </c>
      <c r="H195" s="12">
        <v>0</v>
      </c>
      <c r="I195" s="10">
        <v>1</v>
      </c>
      <c r="J195" s="13">
        <v>0</v>
      </c>
      <c r="K195" s="14">
        <v>5138</v>
      </c>
      <c r="L195" s="14">
        <v>5428</v>
      </c>
      <c r="M195" s="14">
        <v>1057</v>
      </c>
      <c r="N195" s="15">
        <v>46.3337</v>
      </c>
      <c r="O195" s="11">
        <f t="shared" si="3"/>
        <v>110.89120877460682</v>
      </c>
      <c r="P195" s="10">
        <v>3</v>
      </c>
      <c r="Q195" s="16">
        <v>15467</v>
      </c>
      <c r="R195" s="11">
        <v>4663413.5200000033</v>
      </c>
      <c r="S195" s="17">
        <v>70.266836086404055</v>
      </c>
      <c r="T195" s="10">
        <v>0</v>
      </c>
      <c r="U195" s="12">
        <v>8.7750917332182182E-2</v>
      </c>
      <c r="V195" s="14">
        <v>357</v>
      </c>
      <c r="W195" s="11">
        <v>3259.4338000000007</v>
      </c>
      <c r="X195" s="18">
        <v>122</v>
      </c>
    </row>
    <row r="196" spans="1:24" ht="15" customHeight="1" x14ac:dyDescent="0.3">
      <c r="A196" s="9">
        <v>37044</v>
      </c>
      <c r="B196" s="9" t="s">
        <v>202</v>
      </c>
      <c r="C196" s="10" t="s">
        <v>13</v>
      </c>
      <c r="D196" s="10">
        <v>4</v>
      </c>
      <c r="E196" s="11">
        <v>14.607673769999998</v>
      </c>
      <c r="F196" s="10">
        <v>638</v>
      </c>
      <c r="G196" s="11">
        <v>0.45712783852626976</v>
      </c>
      <c r="H196" s="12">
        <v>6.0499999999999998E-2</v>
      </c>
      <c r="I196" s="10">
        <v>1</v>
      </c>
      <c r="J196" s="13">
        <v>0</v>
      </c>
      <c r="K196" s="14">
        <v>6398</v>
      </c>
      <c r="L196" s="14">
        <v>6133</v>
      </c>
      <c r="M196" s="14">
        <v>1162</v>
      </c>
      <c r="N196" s="15">
        <v>65.009100000000004</v>
      </c>
      <c r="O196" s="11">
        <f t="shared" si="3"/>
        <v>98.416990852049935</v>
      </c>
      <c r="P196" s="10">
        <v>7.0000000000000009</v>
      </c>
      <c r="Q196" s="16">
        <v>15675</v>
      </c>
      <c r="R196" s="11">
        <v>7960434.4300000034</v>
      </c>
      <c r="S196" s="17">
        <v>67.841409691629963</v>
      </c>
      <c r="T196" s="10">
        <v>0</v>
      </c>
      <c r="U196" s="12">
        <v>0.66509767728041835</v>
      </c>
      <c r="V196" s="14">
        <v>498</v>
      </c>
      <c r="W196" s="11">
        <v>2492.090400000001</v>
      </c>
      <c r="X196" s="18">
        <v>74</v>
      </c>
    </row>
    <row r="197" spans="1:24" ht="15" customHeight="1" x14ac:dyDescent="0.3">
      <c r="A197" s="9">
        <v>99011</v>
      </c>
      <c r="B197" s="9" t="s">
        <v>203</v>
      </c>
      <c r="C197" s="10" t="s">
        <v>30</v>
      </c>
      <c r="D197" s="10">
        <v>0</v>
      </c>
      <c r="E197" s="11">
        <v>16.983860645</v>
      </c>
      <c r="F197" s="10">
        <v>631</v>
      </c>
      <c r="G197" s="11">
        <v>0.82178722519290603</v>
      </c>
      <c r="H197" s="12">
        <v>0</v>
      </c>
      <c r="I197" s="10">
        <v>0</v>
      </c>
      <c r="J197" s="13">
        <v>0</v>
      </c>
      <c r="K197" s="14">
        <v>7111</v>
      </c>
      <c r="L197" s="14">
        <v>6892</v>
      </c>
      <c r="M197" s="14">
        <v>1214</v>
      </c>
      <c r="N197" s="15">
        <v>5.4401000000000002</v>
      </c>
      <c r="O197" s="11">
        <f t="shared" si="3"/>
        <v>1307.145089244683</v>
      </c>
      <c r="P197" s="10">
        <v>0</v>
      </c>
      <c r="Q197" s="16">
        <v>13123</v>
      </c>
      <c r="R197" s="11">
        <v>6189134.3399999971</v>
      </c>
      <c r="S197" s="17">
        <v>67.631774313288801</v>
      </c>
      <c r="T197" s="10">
        <v>0</v>
      </c>
      <c r="U197" s="12">
        <v>7.2573529411764703E-2</v>
      </c>
      <c r="V197" s="14">
        <v>805</v>
      </c>
      <c r="W197" s="11">
        <v>138.13850000000005</v>
      </c>
      <c r="X197" s="18">
        <v>28</v>
      </c>
    </row>
    <row r="198" spans="1:24" ht="15" customHeight="1" x14ac:dyDescent="0.3">
      <c r="A198" s="9">
        <v>37045</v>
      </c>
      <c r="B198" s="9" t="s">
        <v>204</v>
      </c>
      <c r="C198" s="10" t="s">
        <v>13</v>
      </c>
      <c r="D198" s="10">
        <v>0</v>
      </c>
      <c r="E198" s="11">
        <v>75.079264997999999</v>
      </c>
      <c r="F198" s="10">
        <v>651</v>
      </c>
      <c r="G198" s="11">
        <v>0.93788571530874698</v>
      </c>
      <c r="H198" s="12">
        <v>0</v>
      </c>
      <c r="I198" s="10">
        <v>0</v>
      </c>
      <c r="J198" s="10">
        <v>1</v>
      </c>
      <c r="K198" s="14">
        <v>4593</v>
      </c>
      <c r="L198" s="14">
        <v>4644</v>
      </c>
      <c r="M198" s="14">
        <v>821</v>
      </c>
      <c r="N198" s="15">
        <v>21.451699999999999</v>
      </c>
      <c r="O198" s="11">
        <f t="shared" si="3"/>
        <v>214.10890512173862</v>
      </c>
      <c r="P198" s="10">
        <v>0</v>
      </c>
      <c r="Q198" s="16">
        <v>15890</v>
      </c>
      <c r="R198" s="11">
        <v>5246391.4500000011</v>
      </c>
      <c r="S198" s="17">
        <v>76.642547033285098</v>
      </c>
      <c r="T198" s="10">
        <v>1</v>
      </c>
      <c r="U198" s="12">
        <v>3.0414918414918415E-2</v>
      </c>
      <c r="V198" s="14">
        <v>265</v>
      </c>
      <c r="W198" s="11">
        <v>1500.2675999999985</v>
      </c>
      <c r="X198" s="18">
        <v>181</v>
      </c>
    </row>
    <row r="199" spans="1:24" ht="15" customHeight="1" x14ac:dyDescent="0.3">
      <c r="A199" s="9">
        <v>33028</v>
      </c>
      <c r="B199" s="9" t="s">
        <v>205</v>
      </c>
      <c r="C199" s="10" t="s">
        <v>3</v>
      </c>
      <c r="D199" s="10">
        <v>4</v>
      </c>
      <c r="E199" s="11">
        <v>-35.874401635999995</v>
      </c>
      <c r="F199" s="10">
        <v>731</v>
      </c>
      <c r="G199" s="11">
        <v>0.31253599569886298</v>
      </c>
      <c r="H199" s="12">
        <v>0</v>
      </c>
      <c r="I199" s="10">
        <v>0</v>
      </c>
      <c r="J199" s="13">
        <v>0</v>
      </c>
      <c r="K199" s="14">
        <v>884</v>
      </c>
      <c r="L199" s="14">
        <v>1105</v>
      </c>
      <c r="M199" s="14">
        <v>317</v>
      </c>
      <c r="N199" s="15">
        <v>83.934899999999999</v>
      </c>
      <c r="O199" s="11">
        <f t="shared" si="3"/>
        <v>10.53197180195604</v>
      </c>
      <c r="P199" s="10">
        <v>100</v>
      </c>
      <c r="Q199" s="16">
        <v>13910</v>
      </c>
      <c r="R199" s="11">
        <v>1697321.8699999996</v>
      </c>
      <c r="S199" s="17">
        <v>64.601769911504419</v>
      </c>
      <c r="T199" s="10">
        <v>1</v>
      </c>
      <c r="U199" s="12">
        <v>0.71691647801739544</v>
      </c>
      <c r="V199" s="14">
        <v>61</v>
      </c>
      <c r="W199" s="11">
        <v>2982.3870000000011</v>
      </c>
      <c r="X199" s="18">
        <v>179</v>
      </c>
    </row>
    <row r="200" spans="1:24" ht="15" customHeight="1" x14ac:dyDescent="0.3">
      <c r="A200" s="9">
        <v>34024</v>
      </c>
      <c r="B200" s="9" t="s">
        <v>206</v>
      </c>
      <c r="C200" s="10" t="s">
        <v>5</v>
      </c>
      <c r="D200" s="10">
        <v>6</v>
      </c>
      <c r="E200" s="11">
        <v>26.179765799999998</v>
      </c>
      <c r="F200" s="10">
        <v>707</v>
      </c>
      <c r="G200" s="11">
        <v>0.51788889724748033</v>
      </c>
      <c r="H200" s="12">
        <v>0</v>
      </c>
      <c r="I200" s="10">
        <v>0</v>
      </c>
      <c r="J200" s="13">
        <v>0</v>
      </c>
      <c r="K200" s="14">
        <v>3422</v>
      </c>
      <c r="L200" s="14">
        <v>3691</v>
      </c>
      <c r="M200" s="14">
        <v>776</v>
      </c>
      <c r="N200" s="15">
        <v>105.9579</v>
      </c>
      <c r="O200" s="11">
        <f t="shared" si="3"/>
        <v>32.295845802908516</v>
      </c>
      <c r="P200" s="10">
        <v>54</v>
      </c>
      <c r="Q200" s="16">
        <v>15642</v>
      </c>
      <c r="R200" s="11">
        <v>5020775.4100000029</v>
      </c>
      <c r="S200" s="17">
        <v>70.711914422722245</v>
      </c>
      <c r="T200" s="10">
        <v>1</v>
      </c>
      <c r="U200" s="12">
        <v>0.381275953189883</v>
      </c>
      <c r="V200" s="14">
        <v>230</v>
      </c>
      <c r="W200" s="11">
        <v>6019.6469000000016</v>
      </c>
      <c r="X200" s="18">
        <v>273</v>
      </c>
    </row>
    <row r="201" spans="1:24" ht="15" customHeight="1" x14ac:dyDescent="0.3">
      <c r="A201" s="9">
        <v>34025</v>
      </c>
      <c r="B201" s="9" t="s">
        <v>207</v>
      </c>
      <c r="C201" s="10" t="s">
        <v>5</v>
      </c>
      <c r="D201" s="10">
        <v>4</v>
      </c>
      <c r="E201" s="11">
        <v>112.95594961</v>
      </c>
      <c r="F201" s="10">
        <v>660</v>
      </c>
      <c r="G201" s="11">
        <v>0.81401314138607239</v>
      </c>
      <c r="H201" s="12">
        <v>5.1299999999999998E-2</v>
      </c>
      <c r="I201" s="10">
        <v>2</v>
      </c>
      <c r="J201" s="13">
        <v>0</v>
      </c>
      <c r="K201" s="14">
        <v>13203</v>
      </c>
      <c r="L201" s="14">
        <v>12705</v>
      </c>
      <c r="M201" s="14">
        <v>2121</v>
      </c>
      <c r="N201" s="15">
        <v>79.174099999999996</v>
      </c>
      <c r="O201" s="11">
        <f t="shared" si="3"/>
        <v>166.75907904226256</v>
      </c>
      <c r="P201" s="10">
        <v>17</v>
      </c>
      <c r="Q201" s="16">
        <v>17401</v>
      </c>
      <c r="R201" s="11">
        <v>13322514.600000001</v>
      </c>
      <c r="S201" s="17">
        <v>72.509636843173055</v>
      </c>
      <c r="T201" s="10">
        <v>0</v>
      </c>
      <c r="U201" s="12">
        <v>0.14052924087406846</v>
      </c>
      <c r="V201" s="14">
        <v>1046</v>
      </c>
      <c r="W201" s="11">
        <v>5999.0839000000042</v>
      </c>
      <c r="X201" s="18">
        <v>252</v>
      </c>
    </row>
    <row r="202" spans="1:24" ht="15" customHeight="1" x14ac:dyDescent="0.3">
      <c r="A202" s="9">
        <v>36027</v>
      </c>
      <c r="B202" s="9" t="s">
        <v>208</v>
      </c>
      <c r="C202" s="10" t="s">
        <v>27</v>
      </c>
      <c r="D202" s="10">
        <v>4</v>
      </c>
      <c r="E202" s="11">
        <v>62.584284565000004</v>
      </c>
      <c r="F202" s="10">
        <v>632</v>
      </c>
      <c r="G202" s="11">
        <v>0.89248494971927816</v>
      </c>
      <c r="H202" s="12">
        <v>0</v>
      </c>
      <c r="I202" s="10">
        <v>0</v>
      </c>
      <c r="J202" s="13">
        <v>0</v>
      </c>
      <c r="K202" s="14">
        <v>16106</v>
      </c>
      <c r="L202" s="14">
        <v>15179</v>
      </c>
      <c r="M202" s="14">
        <v>2619</v>
      </c>
      <c r="N202" s="15">
        <v>55.320900000000002</v>
      </c>
      <c r="O202" s="11">
        <f t="shared" si="3"/>
        <v>291.13770744872193</v>
      </c>
      <c r="P202" s="10">
        <v>0</v>
      </c>
      <c r="Q202" s="16">
        <v>16337</v>
      </c>
      <c r="R202" s="11">
        <v>13753268.180000003</v>
      </c>
      <c r="S202" s="17">
        <v>73.470062851472051</v>
      </c>
      <c r="T202" s="10">
        <v>0</v>
      </c>
      <c r="U202" s="12">
        <v>1.9609544468546639E-2</v>
      </c>
      <c r="V202" s="14">
        <v>991</v>
      </c>
      <c r="W202" s="11">
        <v>4501.559299999999</v>
      </c>
      <c r="X202" s="18">
        <v>264</v>
      </c>
    </row>
    <row r="203" spans="1:24" ht="15" customHeight="1" x14ac:dyDescent="0.3">
      <c r="A203" s="9">
        <v>99023</v>
      </c>
      <c r="B203" s="9" t="s">
        <v>209</v>
      </c>
      <c r="C203" s="10" t="s">
        <v>30</v>
      </c>
      <c r="D203" s="10">
        <v>2</v>
      </c>
      <c r="E203" s="11">
        <v>21.265268320000001</v>
      </c>
      <c r="F203" s="10">
        <v>655</v>
      </c>
      <c r="G203" s="11">
        <v>0.43802284534001368</v>
      </c>
      <c r="H203" s="12">
        <v>0</v>
      </c>
      <c r="I203" s="10">
        <v>0</v>
      </c>
      <c r="J203" s="13">
        <v>0</v>
      </c>
      <c r="K203" s="14">
        <v>6934</v>
      </c>
      <c r="L203" s="14">
        <v>7282</v>
      </c>
      <c r="M203" s="14">
        <v>1406</v>
      </c>
      <c r="N203" s="15">
        <v>41.838799999999999</v>
      </c>
      <c r="O203" s="11">
        <f t="shared" si="3"/>
        <v>165.73133072650268</v>
      </c>
      <c r="P203" s="10">
        <v>26</v>
      </c>
      <c r="Q203" s="16">
        <v>13519</v>
      </c>
      <c r="R203" s="11">
        <v>5569611.5400000019</v>
      </c>
      <c r="S203" s="17">
        <v>70.697844355133356</v>
      </c>
      <c r="T203" s="10">
        <v>0</v>
      </c>
      <c r="U203" s="12">
        <v>0.37196701720841296</v>
      </c>
      <c r="V203" s="14">
        <v>596</v>
      </c>
      <c r="W203" s="11">
        <v>1765.8439999999989</v>
      </c>
      <c r="X203" s="18">
        <v>106</v>
      </c>
    </row>
    <row r="204" spans="1:24" ht="15" customHeight="1" x14ac:dyDescent="0.3">
      <c r="A204" s="9">
        <v>35028</v>
      </c>
      <c r="B204" s="9" t="s">
        <v>210</v>
      </c>
      <c r="C204" s="10" t="s">
        <v>7</v>
      </c>
      <c r="D204" s="10">
        <v>3</v>
      </c>
      <c r="E204" s="11">
        <v>205.94028729999999</v>
      </c>
      <c r="F204" s="10">
        <v>601</v>
      </c>
      <c r="G204" s="11">
        <v>0.90790550778571921</v>
      </c>
      <c r="H204" s="12">
        <v>0</v>
      </c>
      <c r="I204" s="10">
        <v>0</v>
      </c>
      <c r="J204" s="13">
        <v>0</v>
      </c>
      <c r="K204" s="14">
        <v>13203</v>
      </c>
      <c r="L204" s="14">
        <v>13455</v>
      </c>
      <c r="M204" s="14">
        <v>2340</v>
      </c>
      <c r="N204" s="15">
        <v>58.107300000000002</v>
      </c>
      <c r="O204" s="11">
        <f t="shared" si="3"/>
        <v>227.21757851423143</v>
      </c>
      <c r="P204" s="10">
        <v>3</v>
      </c>
      <c r="Q204" s="16">
        <v>15759</v>
      </c>
      <c r="R204" s="11">
        <v>15852122.300000008</v>
      </c>
      <c r="S204" s="17">
        <v>74.822990420658058</v>
      </c>
      <c r="T204" s="10">
        <v>0</v>
      </c>
      <c r="U204" s="12">
        <v>3.8847014283255897E-2</v>
      </c>
      <c r="V204" s="14">
        <v>1022</v>
      </c>
      <c r="W204" s="11">
        <v>4650.4477999999981</v>
      </c>
      <c r="X204" s="18">
        <v>180</v>
      </c>
    </row>
    <row r="205" spans="1:24" ht="15" customHeight="1" x14ac:dyDescent="0.3">
      <c r="A205" s="9">
        <v>36028</v>
      </c>
      <c r="B205" s="9" t="s">
        <v>211</v>
      </c>
      <c r="C205" s="10" t="s">
        <v>27</v>
      </c>
      <c r="D205" s="10">
        <v>0</v>
      </c>
      <c r="E205" s="11">
        <v>58.985241809999998</v>
      </c>
      <c r="F205" s="10">
        <v>616</v>
      </c>
      <c r="G205" s="11">
        <v>0.91837149012335184</v>
      </c>
      <c r="H205" s="12">
        <v>0</v>
      </c>
      <c r="I205" s="10">
        <v>0</v>
      </c>
      <c r="J205" s="13">
        <v>0</v>
      </c>
      <c r="K205" s="14">
        <v>10072</v>
      </c>
      <c r="L205" s="14">
        <v>10972</v>
      </c>
      <c r="M205" s="14">
        <v>1963</v>
      </c>
      <c r="N205" s="15">
        <v>51.8232</v>
      </c>
      <c r="O205" s="11">
        <f t="shared" si="3"/>
        <v>194.35310826039304</v>
      </c>
      <c r="P205" s="10">
        <v>7.0000000000000009</v>
      </c>
      <c r="Q205" s="16">
        <v>14083</v>
      </c>
      <c r="R205" s="11">
        <v>11600818.640000004</v>
      </c>
      <c r="S205" s="17">
        <v>71.783899438352506</v>
      </c>
      <c r="T205" s="10">
        <v>0</v>
      </c>
      <c r="U205" s="12">
        <v>2.1337321497491315E-2</v>
      </c>
      <c r="V205" s="14">
        <v>782</v>
      </c>
      <c r="W205" s="11">
        <v>3668.9790000000012</v>
      </c>
      <c r="X205" s="18">
        <v>295</v>
      </c>
    </row>
    <row r="206" spans="1:24" ht="15" customHeight="1" x14ac:dyDescent="0.3">
      <c r="A206" s="9">
        <v>38017</v>
      </c>
      <c r="B206" s="9" t="s">
        <v>212</v>
      </c>
      <c r="C206" s="10" t="s">
        <v>17</v>
      </c>
      <c r="D206" s="10">
        <v>3</v>
      </c>
      <c r="E206" s="11">
        <v>183.65374352800001</v>
      </c>
      <c r="F206" s="10">
        <v>667</v>
      </c>
      <c r="G206" s="11">
        <v>0.71919221883247797</v>
      </c>
      <c r="H206" s="12">
        <v>2.0999999999999999E-3</v>
      </c>
      <c r="I206" s="10">
        <v>0</v>
      </c>
      <c r="J206" s="10">
        <v>1</v>
      </c>
      <c r="K206" s="14">
        <v>5604</v>
      </c>
      <c r="L206" s="14">
        <v>6453</v>
      </c>
      <c r="M206" s="14">
        <v>1414</v>
      </c>
      <c r="N206" s="15">
        <v>173.3434</v>
      </c>
      <c r="O206" s="11">
        <f t="shared" si="3"/>
        <v>32.328891668214652</v>
      </c>
      <c r="P206" s="10">
        <v>11</v>
      </c>
      <c r="Q206" s="16">
        <v>14284</v>
      </c>
      <c r="R206" s="11">
        <v>5841581.3200000003</v>
      </c>
      <c r="S206" s="17">
        <v>68.150031786395431</v>
      </c>
      <c r="T206" s="10">
        <v>0</v>
      </c>
      <c r="U206" s="12">
        <v>1.3931002653744086E-2</v>
      </c>
      <c r="V206" s="14">
        <v>330</v>
      </c>
      <c r="W206" s="11">
        <v>15941.435600000001</v>
      </c>
      <c r="X206" s="18">
        <v>349</v>
      </c>
    </row>
    <row r="207" spans="1:24" ht="15" customHeight="1" x14ac:dyDescent="0.3">
      <c r="A207" s="9">
        <v>33030</v>
      </c>
      <c r="B207" s="9" t="s">
        <v>213</v>
      </c>
      <c r="C207" s="10" t="s">
        <v>3</v>
      </c>
      <c r="D207" s="10">
        <v>1</v>
      </c>
      <c r="E207" s="11">
        <v>-61.653834122999996</v>
      </c>
      <c r="F207" s="10">
        <v>607</v>
      </c>
      <c r="G207" s="11">
        <v>0.34479941725869762</v>
      </c>
      <c r="H207" s="12">
        <v>0</v>
      </c>
      <c r="I207" s="10">
        <v>0</v>
      </c>
      <c r="J207" s="13">
        <v>0</v>
      </c>
      <c r="K207" s="14">
        <v>432</v>
      </c>
      <c r="L207" s="14">
        <v>570</v>
      </c>
      <c r="M207" s="14">
        <v>149</v>
      </c>
      <c r="N207" s="15">
        <v>98.9589</v>
      </c>
      <c r="O207" s="11">
        <f t="shared" si="3"/>
        <v>4.3654486862727859</v>
      </c>
      <c r="P207" s="10">
        <v>100</v>
      </c>
      <c r="Q207" s="16">
        <v>12981</v>
      </c>
      <c r="R207" s="11">
        <v>955104.48000000021</v>
      </c>
      <c r="S207" s="17">
        <v>54.395604395604394</v>
      </c>
      <c r="T207" s="10">
        <v>1</v>
      </c>
      <c r="U207" s="12">
        <v>0.89768290218270008</v>
      </c>
      <c r="V207" s="14">
        <v>49</v>
      </c>
      <c r="W207" s="11">
        <v>1034.4589999999996</v>
      </c>
      <c r="X207" s="18">
        <v>21</v>
      </c>
    </row>
    <row r="208" spans="1:24" ht="15" customHeight="1" x14ac:dyDescent="0.3">
      <c r="A208" s="9">
        <v>37046</v>
      </c>
      <c r="B208" s="9" t="s">
        <v>214</v>
      </c>
      <c r="C208" s="10" t="s">
        <v>13</v>
      </c>
      <c r="D208" s="10">
        <v>7</v>
      </c>
      <c r="E208" s="11">
        <v>115.127004361</v>
      </c>
      <c r="F208" s="10">
        <v>642</v>
      </c>
      <c r="G208" s="11">
        <v>0.75195641846562966</v>
      </c>
      <c r="H208" s="12">
        <v>0.14119999999999999</v>
      </c>
      <c r="I208" s="10">
        <v>1</v>
      </c>
      <c r="J208" s="10">
        <v>1</v>
      </c>
      <c r="K208" s="14">
        <v>14053</v>
      </c>
      <c r="L208" s="14">
        <v>12870</v>
      </c>
      <c r="M208" s="14">
        <v>2528</v>
      </c>
      <c r="N208" s="15">
        <v>64.948099999999997</v>
      </c>
      <c r="O208" s="11">
        <f t="shared" si="3"/>
        <v>216.37276533108744</v>
      </c>
      <c r="P208" s="10">
        <v>7.0000000000000009</v>
      </c>
      <c r="Q208" s="16">
        <v>18931</v>
      </c>
      <c r="R208" s="11">
        <v>15801774.320000002</v>
      </c>
      <c r="S208" s="17">
        <v>75.242586378888191</v>
      </c>
      <c r="T208" s="10">
        <v>0</v>
      </c>
      <c r="U208" s="12">
        <v>0.16327482678983835</v>
      </c>
      <c r="V208" s="14">
        <v>1217</v>
      </c>
      <c r="W208" s="11">
        <v>4369.9360999999999</v>
      </c>
      <c r="X208" s="18">
        <v>110</v>
      </c>
    </row>
    <row r="209" spans="1:24" ht="15" customHeight="1" x14ac:dyDescent="0.3">
      <c r="A209" s="9">
        <v>36029</v>
      </c>
      <c r="B209" s="9" t="s">
        <v>215</v>
      </c>
      <c r="C209" s="10" t="s">
        <v>27</v>
      </c>
      <c r="D209" s="10">
        <v>1</v>
      </c>
      <c r="E209" s="11">
        <v>-13.728663538999999</v>
      </c>
      <c r="F209" s="10">
        <v>710</v>
      </c>
      <c r="G209" s="11">
        <v>0.30468081833282362</v>
      </c>
      <c r="H209" s="12">
        <v>0</v>
      </c>
      <c r="I209" s="10">
        <v>0</v>
      </c>
      <c r="J209" s="13">
        <v>0</v>
      </c>
      <c r="K209" s="14">
        <v>2051</v>
      </c>
      <c r="L209" s="14">
        <v>2354</v>
      </c>
      <c r="M209" s="14">
        <v>500</v>
      </c>
      <c r="N209" s="15">
        <v>60.411999999999999</v>
      </c>
      <c r="O209" s="11">
        <f t="shared" si="3"/>
        <v>33.950208567834203</v>
      </c>
      <c r="P209" s="10">
        <v>95</v>
      </c>
      <c r="Q209" s="16">
        <v>14034</v>
      </c>
      <c r="R209" s="11">
        <v>5505058.1999999965</v>
      </c>
      <c r="S209" s="17">
        <v>71.895424836601308</v>
      </c>
      <c r="T209" s="10">
        <v>1</v>
      </c>
      <c r="U209" s="12">
        <v>0.59120178778347965</v>
      </c>
      <c r="V209" s="14">
        <v>169</v>
      </c>
      <c r="W209" s="11">
        <v>1688.2212999999995</v>
      </c>
      <c r="X209" s="18">
        <v>102</v>
      </c>
    </row>
    <row r="210" spans="1:24" ht="15" customHeight="1" x14ac:dyDescent="0.3">
      <c r="A210" s="9">
        <v>34026</v>
      </c>
      <c r="B210" s="9" t="s">
        <v>216</v>
      </c>
      <c r="C210" s="10" t="s">
        <v>5</v>
      </c>
      <c r="D210" s="10">
        <v>1</v>
      </c>
      <c r="E210" s="11">
        <v>-14.838595801</v>
      </c>
      <c r="F210" s="10">
        <v>715</v>
      </c>
      <c r="G210" s="11">
        <v>0.5917052682755547</v>
      </c>
      <c r="H210" s="12">
        <v>1E-3</v>
      </c>
      <c r="I210" s="10">
        <v>0</v>
      </c>
      <c r="J210" s="13">
        <v>0</v>
      </c>
      <c r="K210" s="14">
        <v>1040</v>
      </c>
      <c r="L210" s="14">
        <v>1165</v>
      </c>
      <c r="M210" s="14">
        <v>309</v>
      </c>
      <c r="N210" s="15">
        <v>69.802700000000002</v>
      </c>
      <c r="O210" s="11">
        <f t="shared" si="3"/>
        <v>14.899137139394321</v>
      </c>
      <c r="P210" s="10">
        <v>10</v>
      </c>
      <c r="Q210" s="16">
        <v>16058</v>
      </c>
      <c r="R210" s="11">
        <v>3174782.7700000005</v>
      </c>
      <c r="S210" s="17">
        <v>69.005847953216374</v>
      </c>
      <c r="T210" s="10">
        <v>1</v>
      </c>
      <c r="U210" s="12">
        <v>0.69755730659025783</v>
      </c>
      <c r="V210" s="14">
        <v>90</v>
      </c>
      <c r="W210" s="11">
        <v>2317.8034999999995</v>
      </c>
      <c r="X210" s="18">
        <v>56</v>
      </c>
    </row>
    <row r="211" spans="1:24" ht="15" customHeight="1" x14ac:dyDescent="0.3">
      <c r="A211" s="9">
        <v>34027</v>
      </c>
      <c r="B211" s="9" t="s">
        <v>5</v>
      </c>
      <c r="C211" s="10" t="s">
        <v>5</v>
      </c>
      <c r="D211" s="10">
        <v>14</v>
      </c>
      <c r="E211" s="11">
        <v>1719.7326167099998</v>
      </c>
      <c r="F211" s="10">
        <v>591</v>
      </c>
      <c r="G211" s="11">
        <v>0.80943099863471901</v>
      </c>
      <c r="H211" s="12">
        <v>4.0000000000000001E-3</v>
      </c>
      <c r="I211" s="10">
        <v>2</v>
      </c>
      <c r="J211" s="10">
        <v>7</v>
      </c>
      <c r="K211" s="14">
        <v>196764</v>
      </c>
      <c r="L211" s="14">
        <v>175895</v>
      </c>
      <c r="M211" s="14">
        <v>33805</v>
      </c>
      <c r="N211" s="15">
        <v>260.60180000000003</v>
      </c>
      <c r="O211" s="11">
        <f t="shared" si="3"/>
        <v>755.03699513971117</v>
      </c>
      <c r="P211" s="10">
        <v>6</v>
      </c>
      <c r="Q211" s="16">
        <v>19410</v>
      </c>
      <c r="R211" s="11">
        <v>296956322.4399997</v>
      </c>
      <c r="S211" s="17">
        <v>70.310653324642388</v>
      </c>
      <c r="T211" s="10">
        <v>0</v>
      </c>
      <c r="U211" s="12">
        <v>3.8024942440521868E-2</v>
      </c>
      <c r="V211" s="14">
        <v>20574</v>
      </c>
      <c r="W211" s="11">
        <v>16713.002900000014</v>
      </c>
      <c r="X211" s="18">
        <v>686</v>
      </c>
    </row>
    <row r="212" spans="1:24" ht="15" customHeight="1" x14ac:dyDescent="0.3">
      <c r="A212" s="9">
        <v>36030</v>
      </c>
      <c r="B212" s="9" t="s">
        <v>217</v>
      </c>
      <c r="C212" s="10" t="s">
        <v>27</v>
      </c>
      <c r="D212" s="10">
        <v>13</v>
      </c>
      <c r="E212" s="11">
        <v>234.69371667999999</v>
      </c>
      <c r="F212" s="10">
        <v>687</v>
      </c>
      <c r="G212" s="11">
        <v>0.49949986608974006</v>
      </c>
      <c r="H212" s="12">
        <v>1.9099999999999999E-2</v>
      </c>
      <c r="I212" s="10">
        <v>0</v>
      </c>
      <c r="J212" s="13">
        <v>0</v>
      </c>
      <c r="K212" s="14">
        <v>18103</v>
      </c>
      <c r="L212" s="14">
        <v>17198</v>
      </c>
      <c r="M212" s="14">
        <v>3099</v>
      </c>
      <c r="N212" s="15">
        <v>143.73269999999999</v>
      </c>
      <c r="O212" s="11">
        <f t="shared" si="3"/>
        <v>125.94907074033954</v>
      </c>
      <c r="P212" s="10">
        <v>30</v>
      </c>
      <c r="Q212" s="16">
        <v>15340</v>
      </c>
      <c r="R212" s="11">
        <v>37092411.580000021</v>
      </c>
      <c r="S212" s="17">
        <v>68.940998487140689</v>
      </c>
      <c r="T212" s="10">
        <v>0</v>
      </c>
      <c r="U212" s="12">
        <v>0.40404160578863146</v>
      </c>
      <c r="V212" s="14">
        <v>1478</v>
      </c>
      <c r="W212" s="11">
        <v>8173.0160999999953</v>
      </c>
      <c r="X212" s="18">
        <v>449</v>
      </c>
    </row>
    <row r="213" spans="1:24" ht="15" customHeight="1" x14ac:dyDescent="0.3">
      <c r="A213" s="9">
        <v>34028</v>
      </c>
      <c r="B213" s="9" t="s">
        <v>218</v>
      </c>
      <c r="C213" s="10" t="s">
        <v>5</v>
      </c>
      <c r="D213" s="10">
        <v>1</v>
      </c>
      <c r="E213" s="11">
        <v>6.0551631920000002</v>
      </c>
      <c r="F213" s="10">
        <v>695</v>
      </c>
      <c r="G213" s="11">
        <v>0.22793281482529454</v>
      </c>
      <c r="H213" s="12">
        <v>2.0000000000000001E-4</v>
      </c>
      <c r="I213" s="10">
        <v>0</v>
      </c>
      <c r="J213" s="13">
        <v>0</v>
      </c>
      <c r="K213" s="14">
        <v>962</v>
      </c>
      <c r="L213" s="14">
        <v>1066</v>
      </c>
      <c r="M213" s="14">
        <v>255</v>
      </c>
      <c r="N213" s="15">
        <v>82.079800000000006</v>
      </c>
      <c r="O213" s="11">
        <f t="shared" si="3"/>
        <v>11.720301462722862</v>
      </c>
      <c r="P213" s="10">
        <v>100</v>
      </c>
      <c r="Q213" s="16">
        <v>13746</v>
      </c>
      <c r="R213" s="11">
        <v>2010145.1799999988</v>
      </c>
      <c r="S213" s="17">
        <v>61.675126903553299</v>
      </c>
      <c r="T213" s="10">
        <v>1</v>
      </c>
      <c r="U213" s="12">
        <v>0.57829556530214421</v>
      </c>
      <c r="V213" s="14">
        <v>58</v>
      </c>
      <c r="W213" s="11">
        <v>3862.3606999999988</v>
      </c>
      <c r="X213" s="18">
        <v>117</v>
      </c>
    </row>
    <row r="214" spans="1:24" ht="15" customHeight="1" x14ac:dyDescent="0.3">
      <c r="A214" s="9">
        <v>99024</v>
      </c>
      <c r="B214" s="9" t="s">
        <v>219</v>
      </c>
      <c r="C214" s="10" t="s">
        <v>30</v>
      </c>
      <c r="D214" s="10">
        <v>3</v>
      </c>
      <c r="E214" s="11">
        <v>-1.4087685099999998</v>
      </c>
      <c r="F214" s="10">
        <v>690</v>
      </c>
      <c r="G214" s="11">
        <v>0.3176861705912658</v>
      </c>
      <c r="H214" s="12">
        <v>0.21909999999999999</v>
      </c>
      <c r="I214" s="10">
        <v>0</v>
      </c>
      <c r="J214" s="13">
        <v>0</v>
      </c>
      <c r="K214" s="14">
        <v>2623</v>
      </c>
      <c r="L214" s="14">
        <v>3017</v>
      </c>
      <c r="M214" s="14">
        <v>615</v>
      </c>
      <c r="N214" s="15">
        <v>69.802099999999996</v>
      </c>
      <c r="O214" s="11">
        <f t="shared" si="3"/>
        <v>37.577666001452684</v>
      </c>
      <c r="P214" s="10">
        <v>12</v>
      </c>
      <c r="Q214" s="16">
        <v>12058</v>
      </c>
      <c r="R214" s="11">
        <v>4296954.3600000003</v>
      </c>
      <c r="S214" s="17">
        <v>69.206492335437332</v>
      </c>
      <c r="T214" s="10">
        <v>1</v>
      </c>
      <c r="U214" s="12">
        <v>0.49470630372492846</v>
      </c>
      <c r="V214" s="14">
        <v>185</v>
      </c>
      <c r="W214" s="11">
        <v>3520.9663000000019</v>
      </c>
      <c r="X214" s="18">
        <v>160</v>
      </c>
    </row>
    <row r="215" spans="1:24" ht="15" customHeight="1" x14ac:dyDescent="0.3">
      <c r="A215" s="9">
        <v>33032</v>
      </c>
      <c r="B215" s="9" t="s">
        <v>3</v>
      </c>
      <c r="C215" s="10" t="s">
        <v>3</v>
      </c>
      <c r="D215" s="10">
        <v>5</v>
      </c>
      <c r="E215" s="11">
        <v>4131.2084892619996</v>
      </c>
      <c r="F215" s="10">
        <v>615</v>
      </c>
      <c r="G215" s="11">
        <v>0.71767301712482601</v>
      </c>
      <c r="H215" s="12">
        <v>0</v>
      </c>
      <c r="I215" s="10">
        <v>1</v>
      </c>
      <c r="J215" s="10">
        <v>4</v>
      </c>
      <c r="K215" s="14">
        <v>102465</v>
      </c>
      <c r="L215" s="14">
        <v>100311</v>
      </c>
      <c r="M215" s="14">
        <v>19304</v>
      </c>
      <c r="N215" s="15">
        <v>118.23560000000001</v>
      </c>
      <c r="O215" s="11">
        <f t="shared" si="3"/>
        <v>866.61716099042928</v>
      </c>
      <c r="P215" s="10">
        <v>6</v>
      </c>
      <c r="Q215" s="16">
        <v>18253</v>
      </c>
      <c r="R215" s="11">
        <v>126620895.78999993</v>
      </c>
      <c r="S215" s="17">
        <v>69.978636953880951</v>
      </c>
      <c r="T215" s="10">
        <v>0</v>
      </c>
      <c r="U215" s="12">
        <v>6.4219384303112317E-2</v>
      </c>
      <c r="V215" s="14">
        <v>10940</v>
      </c>
      <c r="W215" s="11">
        <v>7609.5574999999999</v>
      </c>
      <c r="X215" s="18">
        <v>152</v>
      </c>
    </row>
    <row r="216" spans="1:24" ht="15" customHeight="1" x14ac:dyDescent="0.3">
      <c r="A216" s="9">
        <v>33033</v>
      </c>
      <c r="B216" s="9" t="s">
        <v>220</v>
      </c>
      <c r="C216" s="10" t="s">
        <v>3</v>
      </c>
      <c r="D216" s="10">
        <v>3</v>
      </c>
      <c r="E216" s="11">
        <v>-1.606166354</v>
      </c>
      <c r="F216" s="10">
        <v>639</v>
      </c>
      <c r="G216" s="11">
        <v>0.6863851515356395</v>
      </c>
      <c r="H216" s="12">
        <v>0</v>
      </c>
      <c r="I216" s="10">
        <v>0</v>
      </c>
      <c r="J216" s="13">
        <v>0</v>
      </c>
      <c r="K216" s="14">
        <v>2161</v>
      </c>
      <c r="L216" s="14">
        <v>2290</v>
      </c>
      <c r="M216" s="14">
        <v>476</v>
      </c>
      <c r="N216" s="15">
        <v>36.285499999999999</v>
      </c>
      <c r="O216" s="11">
        <f t="shared" si="3"/>
        <v>59.555469815766628</v>
      </c>
      <c r="P216" s="10">
        <v>9</v>
      </c>
      <c r="Q216" s="16">
        <v>15617</v>
      </c>
      <c r="R216" s="11">
        <v>2423974.5099999998</v>
      </c>
      <c r="S216" s="17">
        <v>70.710784313725497</v>
      </c>
      <c r="T216" s="10">
        <v>1</v>
      </c>
      <c r="U216" s="12">
        <v>0.27044364838798568</v>
      </c>
      <c r="V216" s="14">
        <v>212</v>
      </c>
      <c r="W216" s="11">
        <v>2475.5038999999988</v>
      </c>
      <c r="X216" s="18">
        <v>126</v>
      </c>
    </row>
    <row r="217" spans="1:24" ht="15" customHeight="1" x14ac:dyDescent="0.3">
      <c r="A217" s="9">
        <v>37047</v>
      </c>
      <c r="B217" s="9" t="s">
        <v>221</v>
      </c>
      <c r="C217" s="10" t="s">
        <v>13</v>
      </c>
      <c r="D217" s="10">
        <v>13</v>
      </c>
      <c r="E217" s="11">
        <v>41.542479410000006</v>
      </c>
      <c r="F217" s="10">
        <v>621</v>
      </c>
      <c r="G217" s="11">
        <v>0.45755265094911307</v>
      </c>
      <c r="H217" s="12">
        <v>7.8200000000000006E-2</v>
      </c>
      <c r="I217" s="10">
        <v>2</v>
      </c>
      <c r="J217" s="13">
        <v>0</v>
      </c>
      <c r="K217" s="14">
        <v>17652</v>
      </c>
      <c r="L217" s="14">
        <v>16890</v>
      </c>
      <c r="M217" s="14">
        <v>3642</v>
      </c>
      <c r="N217" s="15">
        <v>107.1306</v>
      </c>
      <c r="O217" s="11">
        <f t="shared" si="3"/>
        <v>164.77084978521543</v>
      </c>
      <c r="P217" s="10">
        <v>16</v>
      </c>
      <c r="Q217" s="16">
        <v>19726</v>
      </c>
      <c r="R217" s="11">
        <v>22110047.670000006</v>
      </c>
      <c r="S217" s="17">
        <v>75.355826891120586</v>
      </c>
      <c r="T217" s="10">
        <v>0</v>
      </c>
      <c r="U217" s="12">
        <v>0.47295622141323629</v>
      </c>
      <c r="V217" s="14">
        <v>1596</v>
      </c>
      <c r="W217" s="11">
        <v>6056.6720999999952</v>
      </c>
      <c r="X217" s="18">
        <v>166</v>
      </c>
    </row>
    <row r="218" spans="1:24" ht="15" customHeight="1" x14ac:dyDescent="0.3">
      <c r="A218" s="9">
        <v>37048</v>
      </c>
      <c r="B218" s="9" t="s">
        <v>222</v>
      </c>
      <c r="C218" s="10" t="s">
        <v>13</v>
      </c>
      <c r="D218" s="10">
        <v>1</v>
      </c>
      <c r="E218" s="11">
        <v>24.059827550000001</v>
      </c>
      <c r="F218" s="10">
        <v>613</v>
      </c>
      <c r="G218" s="11">
        <v>0.74861652112072186</v>
      </c>
      <c r="H218" s="12">
        <v>0</v>
      </c>
      <c r="I218" s="10">
        <v>0</v>
      </c>
      <c r="J218" s="13">
        <v>0</v>
      </c>
      <c r="K218" s="14">
        <v>7255</v>
      </c>
      <c r="L218" s="14">
        <v>6895</v>
      </c>
      <c r="M218" s="14">
        <v>1426</v>
      </c>
      <c r="N218" s="15">
        <v>15.937099999999999</v>
      </c>
      <c r="O218" s="11">
        <f t="shared" si="3"/>
        <v>455.22711158240838</v>
      </c>
      <c r="P218" s="10">
        <v>3</v>
      </c>
      <c r="Q218" s="16">
        <v>17045</v>
      </c>
      <c r="R218" s="11">
        <v>7296939.5300000021</v>
      </c>
      <c r="S218" s="17">
        <v>75.81687612208259</v>
      </c>
      <c r="T218" s="10">
        <v>0</v>
      </c>
      <c r="U218" s="12">
        <v>5.2503136762860725E-2</v>
      </c>
      <c r="V218" s="14">
        <v>559</v>
      </c>
      <c r="W218" s="11">
        <v>1134.8831</v>
      </c>
      <c r="X218" s="18">
        <v>90</v>
      </c>
    </row>
    <row r="219" spans="1:24" ht="15" customHeight="1" x14ac:dyDescent="0.3">
      <c r="A219" s="9">
        <v>36031</v>
      </c>
      <c r="B219" s="9" t="s">
        <v>223</v>
      </c>
      <c r="C219" s="10" t="s">
        <v>27</v>
      </c>
      <c r="D219" s="10">
        <v>0</v>
      </c>
      <c r="E219" s="11">
        <v>-45.543018924999998</v>
      </c>
      <c r="F219" s="10">
        <v>658</v>
      </c>
      <c r="G219" s="11">
        <v>0.37218785645345265</v>
      </c>
      <c r="H219" s="12">
        <v>0.45899999999999996</v>
      </c>
      <c r="I219" s="10">
        <v>0</v>
      </c>
      <c r="J219" s="13">
        <v>0</v>
      </c>
      <c r="K219" s="14">
        <v>2151</v>
      </c>
      <c r="L219" s="14">
        <v>2241</v>
      </c>
      <c r="M219" s="14">
        <v>429</v>
      </c>
      <c r="N219" s="15">
        <v>76.539299999999997</v>
      </c>
      <c r="O219" s="11">
        <f t="shared" si="3"/>
        <v>28.103209723632176</v>
      </c>
      <c r="P219" s="10">
        <v>28.000000000000004</v>
      </c>
      <c r="Q219" s="16">
        <v>12833</v>
      </c>
      <c r="R219" s="11">
        <v>4726235.0100000016</v>
      </c>
      <c r="S219" s="17">
        <v>66.15746180963572</v>
      </c>
      <c r="T219" s="10">
        <v>1</v>
      </c>
      <c r="U219" s="12">
        <v>0.75501306506401877</v>
      </c>
      <c r="V219" s="14">
        <v>239</v>
      </c>
      <c r="W219" s="11">
        <v>685.20090000000005</v>
      </c>
      <c r="X219" s="18">
        <v>62</v>
      </c>
    </row>
    <row r="220" spans="1:24" ht="15" customHeight="1" x14ac:dyDescent="0.3">
      <c r="A220" s="9">
        <v>33034</v>
      </c>
      <c r="B220" s="9" t="s">
        <v>224</v>
      </c>
      <c r="C220" s="10" t="s">
        <v>3</v>
      </c>
      <c r="D220" s="10">
        <v>9</v>
      </c>
      <c r="E220" s="11">
        <v>-8.5880207499999983</v>
      </c>
      <c r="F220" s="10">
        <v>767</v>
      </c>
      <c r="G220" s="11">
        <v>0.47844331851667649</v>
      </c>
      <c r="H220" s="12">
        <v>0</v>
      </c>
      <c r="I220" s="10">
        <v>0</v>
      </c>
      <c r="J220" s="13">
        <v>0</v>
      </c>
      <c r="K220" s="14">
        <v>578</v>
      </c>
      <c r="L220" s="14">
        <v>642</v>
      </c>
      <c r="M220" s="14">
        <v>137</v>
      </c>
      <c r="N220" s="15">
        <v>43.607500000000002</v>
      </c>
      <c r="O220" s="11">
        <f t="shared" si="3"/>
        <v>13.254600699420971</v>
      </c>
      <c r="P220" s="10">
        <v>100</v>
      </c>
      <c r="Q220" s="16">
        <v>14986</v>
      </c>
      <c r="R220" s="11">
        <v>865904.11</v>
      </c>
      <c r="S220" s="17">
        <v>69.512195121951208</v>
      </c>
      <c r="T220" s="10">
        <v>1</v>
      </c>
      <c r="U220" s="12">
        <v>0.35387525796835589</v>
      </c>
      <c r="V220" s="14">
        <v>36</v>
      </c>
      <c r="W220" s="11">
        <v>3291.7439000000008</v>
      </c>
      <c r="X220" s="18">
        <v>138</v>
      </c>
    </row>
    <row r="221" spans="1:24" ht="15" customHeight="1" x14ac:dyDescent="0.3">
      <c r="A221" s="9">
        <v>33035</v>
      </c>
      <c r="B221" s="9" t="s">
        <v>225</v>
      </c>
      <c r="C221" s="10" t="s">
        <v>3</v>
      </c>
      <c r="D221" s="10">
        <v>1</v>
      </c>
      <c r="E221" s="11">
        <v>90.736154608999996</v>
      </c>
      <c r="F221" s="10">
        <v>659</v>
      </c>
      <c r="G221" s="11">
        <v>0.87564680504041881</v>
      </c>
      <c r="H221" s="12">
        <v>0</v>
      </c>
      <c r="I221" s="10">
        <v>0</v>
      </c>
      <c r="J221" s="13">
        <v>0</v>
      </c>
      <c r="K221" s="14">
        <v>9041</v>
      </c>
      <c r="L221" s="14">
        <v>8990</v>
      </c>
      <c r="M221" s="14">
        <v>1576</v>
      </c>
      <c r="N221" s="15">
        <v>44.336100000000002</v>
      </c>
      <c r="O221" s="11">
        <f t="shared" si="3"/>
        <v>203.91960501713049</v>
      </c>
      <c r="P221" s="10">
        <v>0</v>
      </c>
      <c r="Q221" s="16">
        <v>16955</v>
      </c>
      <c r="R221" s="11">
        <v>6113915.1399999997</v>
      </c>
      <c r="S221" s="17">
        <v>71.990277380611957</v>
      </c>
      <c r="T221" s="10">
        <v>0</v>
      </c>
      <c r="U221" s="12">
        <v>4.5845737483085243E-2</v>
      </c>
      <c r="V221" s="14">
        <v>783</v>
      </c>
      <c r="W221" s="11">
        <v>3805.7518000000014</v>
      </c>
      <c r="X221" s="18">
        <v>105</v>
      </c>
    </row>
    <row r="222" spans="1:24" ht="15" customHeight="1" x14ac:dyDescent="0.3">
      <c r="A222" s="9">
        <v>38018</v>
      </c>
      <c r="B222" s="9" t="s">
        <v>226</v>
      </c>
      <c r="C222" s="10" t="s">
        <v>17</v>
      </c>
      <c r="D222" s="10">
        <v>0</v>
      </c>
      <c r="E222" s="11">
        <v>89.640936833000012</v>
      </c>
      <c r="F222" s="10">
        <v>625</v>
      </c>
      <c r="G222" s="11">
        <v>0.7904086538976659</v>
      </c>
      <c r="H222" s="12">
        <v>0</v>
      </c>
      <c r="I222" s="10">
        <v>2</v>
      </c>
      <c r="J222" s="13">
        <v>0</v>
      </c>
      <c r="K222" s="14">
        <v>9709</v>
      </c>
      <c r="L222" s="14">
        <v>9674</v>
      </c>
      <c r="M222" s="14">
        <v>1699</v>
      </c>
      <c r="N222" s="15">
        <v>80.233500000000006</v>
      </c>
      <c r="O222" s="11">
        <f t="shared" si="3"/>
        <v>121.00930409367658</v>
      </c>
      <c r="P222" s="10">
        <v>2</v>
      </c>
      <c r="Q222" s="16">
        <v>15008</v>
      </c>
      <c r="R222" s="11">
        <v>6075057.4700000007</v>
      </c>
      <c r="S222" s="17">
        <v>71.829465731246628</v>
      </c>
      <c r="T222" s="10">
        <v>0</v>
      </c>
      <c r="U222" s="12">
        <v>1.4322572603764178E-2</v>
      </c>
      <c r="V222" s="14">
        <v>542</v>
      </c>
      <c r="W222" s="11">
        <v>7042.3755999999958</v>
      </c>
      <c r="X222" s="18">
        <v>244</v>
      </c>
    </row>
    <row r="223" spans="1:24" ht="15" customHeight="1" x14ac:dyDescent="0.3">
      <c r="A223" s="9">
        <v>99028</v>
      </c>
      <c r="B223" s="27" t="s">
        <v>227</v>
      </c>
      <c r="C223" s="10" t="s">
        <v>30</v>
      </c>
      <c r="D223" s="10">
        <v>3</v>
      </c>
      <c r="E223" s="11">
        <v>45.244539945999996</v>
      </c>
      <c r="F223" s="10">
        <v>698</v>
      </c>
      <c r="G223" s="11">
        <v>0.73038216203071515</v>
      </c>
      <c r="H223" s="12">
        <v>0</v>
      </c>
      <c r="I223" s="10">
        <v>0</v>
      </c>
      <c r="J223" s="10">
        <v>1</v>
      </c>
      <c r="K223" s="14">
        <v>5130</v>
      </c>
      <c r="L223" s="20">
        <v>4960</v>
      </c>
      <c r="M223" s="14">
        <v>743</v>
      </c>
      <c r="N223" s="21">
        <v>34.739800000000002</v>
      </c>
      <c r="O223" s="11">
        <f t="shared" si="3"/>
        <v>147.66924392195693</v>
      </c>
      <c r="P223" s="10">
        <v>0</v>
      </c>
      <c r="Q223" s="16">
        <v>12897</v>
      </c>
      <c r="R223" s="11">
        <v>6152276.4100000048</v>
      </c>
      <c r="S223" s="17">
        <v>69.508525576730193</v>
      </c>
      <c r="T223" s="10">
        <v>0</v>
      </c>
      <c r="U223" s="12">
        <v>0.24216465169833051</v>
      </c>
      <c r="V223" s="14">
        <v>424</v>
      </c>
      <c r="W223" s="11">
        <v>1598.7143000000003</v>
      </c>
      <c r="X223" s="28">
        <v>150</v>
      </c>
    </row>
    <row r="224" spans="1:24" ht="15" customHeight="1" x14ac:dyDescent="0.3">
      <c r="A224" s="9">
        <v>34050</v>
      </c>
      <c r="B224" s="27" t="s">
        <v>228</v>
      </c>
      <c r="C224" s="10" t="s">
        <v>5</v>
      </c>
      <c r="D224" s="10">
        <v>1</v>
      </c>
      <c r="E224" s="11">
        <v>32.814957309999997</v>
      </c>
      <c r="F224" s="10">
        <v>679</v>
      </c>
      <c r="G224" s="11">
        <v>0.87175990932968173</v>
      </c>
      <c r="H224" s="12">
        <v>0</v>
      </c>
      <c r="I224" s="10">
        <v>0</v>
      </c>
      <c r="J224" s="13">
        <v>0</v>
      </c>
      <c r="K224" s="14">
        <v>3099</v>
      </c>
      <c r="L224" s="14">
        <v>3348</v>
      </c>
      <c r="M224" s="14">
        <v>614</v>
      </c>
      <c r="N224" s="21">
        <f>48.51</f>
        <v>48.51</v>
      </c>
      <c r="O224" s="11">
        <f t="shared" si="3"/>
        <v>63.88373531230674</v>
      </c>
      <c r="P224" s="10">
        <v>29</v>
      </c>
      <c r="Q224" s="16">
        <v>15376</v>
      </c>
      <c r="R224" s="11">
        <v>5198106.05</v>
      </c>
      <c r="S224" s="17">
        <v>68.937790943715612</v>
      </c>
      <c r="T224" s="10">
        <v>1</v>
      </c>
      <c r="U224" s="12">
        <v>9.5298845836768342E-2</v>
      </c>
      <c r="V224" s="14">
        <v>251</v>
      </c>
      <c r="W224" s="11">
        <v>3264.7790999999993</v>
      </c>
      <c r="X224" s="29">
        <v>127</v>
      </c>
    </row>
    <row r="225" spans="1:24" ht="15" customHeight="1" x14ac:dyDescent="0.3">
      <c r="A225" s="9">
        <v>36032</v>
      </c>
      <c r="B225" s="9" t="s">
        <v>229</v>
      </c>
      <c r="C225" s="10" t="s">
        <v>27</v>
      </c>
      <c r="D225" s="10">
        <v>3</v>
      </c>
      <c r="E225" s="11">
        <v>-15.778565769999998</v>
      </c>
      <c r="F225" s="10">
        <v>727</v>
      </c>
      <c r="G225" s="11">
        <v>0.41671872764679913</v>
      </c>
      <c r="H225" s="12">
        <v>0</v>
      </c>
      <c r="I225" s="10">
        <v>0</v>
      </c>
      <c r="J225" s="13">
        <v>0</v>
      </c>
      <c r="K225" s="14">
        <v>1583</v>
      </c>
      <c r="L225" s="14">
        <v>1742</v>
      </c>
      <c r="M225" s="14">
        <v>404</v>
      </c>
      <c r="N225" s="15">
        <v>53.739699999999999</v>
      </c>
      <c r="O225" s="11">
        <f t="shared" si="3"/>
        <v>29.456807537072219</v>
      </c>
      <c r="P225" s="10">
        <v>100</v>
      </c>
      <c r="Q225" s="16">
        <v>14301</v>
      </c>
      <c r="R225" s="11">
        <v>2437301.86</v>
      </c>
      <c r="S225" s="17">
        <v>65.892714171337076</v>
      </c>
      <c r="T225" s="10">
        <v>1</v>
      </c>
      <c r="U225" s="12">
        <v>0.48173799776702642</v>
      </c>
      <c r="V225" s="14">
        <v>133</v>
      </c>
      <c r="W225" s="11">
        <v>2570.6312000000003</v>
      </c>
      <c r="X225" s="18">
        <v>151</v>
      </c>
    </row>
    <row r="226" spans="1:24" ht="15" customHeight="1" x14ac:dyDescent="0.3">
      <c r="A226" s="9">
        <v>33036</v>
      </c>
      <c r="B226" s="9" t="s">
        <v>230</v>
      </c>
      <c r="C226" s="10" t="s">
        <v>3</v>
      </c>
      <c r="D226" s="10">
        <v>5</v>
      </c>
      <c r="E226" s="11">
        <v>6.5766813160000011</v>
      </c>
      <c r="F226" s="10">
        <v>619</v>
      </c>
      <c r="G226" s="11">
        <v>0.68292339088638865</v>
      </c>
      <c r="H226" s="12">
        <v>0</v>
      </c>
      <c r="I226" s="10">
        <v>0</v>
      </c>
      <c r="J226" s="13">
        <v>0</v>
      </c>
      <c r="K226" s="14">
        <v>4628</v>
      </c>
      <c r="L226" s="14">
        <v>4936</v>
      </c>
      <c r="M226" s="14">
        <v>1010</v>
      </c>
      <c r="N226" s="15">
        <v>43.915399999999998</v>
      </c>
      <c r="O226" s="11">
        <f t="shared" si="3"/>
        <v>105.38444372589115</v>
      </c>
      <c r="P226" s="10">
        <v>8</v>
      </c>
      <c r="Q226" s="16">
        <v>16388</v>
      </c>
      <c r="R226" s="11">
        <v>4899623.620000001</v>
      </c>
      <c r="S226" s="17">
        <v>71.77308851740203</v>
      </c>
      <c r="T226" s="10">
        <v>1</v>
      </c>
      <c r="U226" s="12">
        <v>0.33177823315118393</v>
      </c>
      <c r="V226" s="14">
        <v>368</v>
      </c>
      <c r="W226" s="11">
        <v>2539.6454999999996</v>
      </c>
      <c r="X226" s="18">
        <v>151</v>
      </c>
    </row>
    <row r="227" spans="1:24" ht="15" customHeight="1" x14ac:dyDescent="0.3">
      <c r="A227" s="9">
        <v>33037</v>
      </c>
      <c r="B227" s="9" t="s">
        <v>231</v>
      </c>
      <c r="C227" s="10" t="s">
        <v>3</v>
      </c>
      <c r="D227" s="10">
        <v>3</v>
      </c>
      <c r="E227" s="11">
        <v>72.173202123999999</v>
      </c>
      <c r="F227" s="10">
        <v>609</v>
      </c>
      <c r="G227" s="11">
        <v>0.71325098898596917</v>
      </c>
      <c r="H227" s="12">
        <v>0</v>
      </c>
      <c r="I227" s="10">
        <v>1</v>
      </c>
      <c r="J227" s="13">
        <v>0</v>
      </c>
      <c r="K227" s="14">
        <v>6523</v>
      </c>
      <c r="L227" s="14">
        <v>6373</v>
      </c>
      <c r="M227" s="14">
        <v>1144</v>
      </c>
      <c r="N227" s="15">
        <v>33.848599999999998</v>
      </c>
      <c r="O227" s="11">
        <f t="shared" si="3"/>
        <v>192.7110722452332</v>
      </c>
      <c r="P227" s="10">
        <v>3</v>
      </c>
      <c r="Q227" s="16">
        <v>15732</v>
      </c>
      <c r="R227" s="11">
        <v>5045847.91</v>
      </c>
      <c r="S227" s="17">
        <v>72.037914691943129</v>
      </c>
      <c r="T227" s="10">
        <v>0</v>
      </c>
      <c r="U227" s="12">
        <v>4.1751846381093062E-2</v>
      </c>
      <c r="V227" s="14">
        <v>478</v>
      </c>
      <c r="W227" s="11">
        <v>2975.0753000000004</v>
      </c>
      <c r="X227" s="18">
        <v>81</v>
      </c>
    </row>
    <row r="228" spans="1:24" ht="15" customHeight="1" x14ac:dyDescent="0.3">
      <c r="A228" s="9">
        <v>40031</v>
      </c>
      <c r="B228" s="9" t="s">
        <v>232</v>
      </c>
      <c r="C228" s="10" t="s">
        <v>21</v>
      </c>
      <c r="D228" s="10">
        <v>1</v>
      </c>
      <c r="E228" s="11">
        <v>-24.274822258</v>
      </c>
      <c r="F228" s="10">
        <v>636</v>
      </c>
      <c r="G228" s="11">
        <v>0.74581293238581514</v>
      </c>
      <c r="H228" s="12">
        <v>0.39130000000000004</v>
      </c>
      <c r="I228" s="10">
        <v>0</v>
      </c>
      <c r="J228" s="13">
        <v>0</v>
      </c>
      <c r="K228" s="14">
        <v>723</v>
      </c>
      <c r="L228" s="14">
        <v>769</v>
      </c>
      <c r="M228" s="14">
        <v>181</v>
      </c>
      <c r="N228" s="15">
        <v>61.054900000000004</v>
      </c>
      <c r="O228" s="11">
        <f t="shared" si="3"/>
        <v>11.841801395137818</v>
      </c>
      <c r="P228" s="10">
        <v>100</v>
      </c>
      <c r="Q228" s="16">
        <v>12910</v>
      </c>
      <c r="R228" s="11">
        <v>2424105.8000000007</v>
      </c>
      <c r="S228" s="17">
        <v>68.1735985533454</v>
      </c>
      <c r="T228" s="10">
        <v>1</v>
      </c>
      <c r="U228" s="12">
        <v>0.79559541359541353</v>
      </c>
      <c r="V228" s="14">
        <v>55</v>
      </c>
      <c r="W228" s="11">
        <v>2671.9906000000005</v>
      </c>
      <c r="X228" s="18">
        <v>36</v>
      </c>
    </row>
    <row r="229" spans="1:24" ht="15" customHeight="1" x14ac:dyDescent="0.3">
      <c r="A229" s="9">
        <v>38019</v>
      </c>
      <c r="B229" s="9" t="s">
        <v>233</v>
      </c>
      <c r="C229" s="10" t="s">
        <v>17</v>
      </c>
      <c r="D229" s="10">
        <v>5</v>
      </c>
      <c r="E229" s="11">
        <v>55.87846571</v>
      </c>
      <c r="F229" s="10">
        <v>608</v>
      </c>
      <c r="G229" s="11">
        <v>0.78281844063770867</v>
      </c>
      <c r="H229" s="12">
        <v>0</v>
      </c>
      <c r="I229" s="10">
        <v>1</v>
      </c>
      <c r="J229" s="13">
        <v>0</v>
      </c>
      <c r="K229" s="14">
        <v>11780</v>
      </c>
      <c r="L229" s="14">
        <v>12185</v>
      </c>
      <c r="M229" s="14">
        <v>2540</v>
      </c>
      <c r="N229" s="15">
        <v>126.6448</v>
      </c>
      <c r="O229" s="11">
        <f t="shared" si="3"/>
        <v>93.016057508875207</v>
      </c>
      <c r="P229" s="10">
        <v>15</v>
      </c>
      <c r="Q229" s="16">
        <v>14547</v>
      </c>
      <c r="R229" s="11">
        <v>18448465.589999992</v>
      </c>
      <c r="S229" s="17">
        <v>71.84124001878817</v>
      </c>
      <c r="T229" s="10">
        <v>0</v>
      </c>
      <c r="U229" s="12">
        <v>7.4881554011370817E-3</v>
      </c>
      <c r="V229" s="14">
        <v>700</v>
      </c>
      <c r="W229" s="11">
        <v>11170.133299999992</v>
      </c>
      <c r="X229" s="18">
        <v>324</v>
      </c>
    </row>
    <row r="230" spans="1:24" ht="15" customHeight="1" x14ac:dyDescent="0.3">
      <c r="A230" s="9">
        <v>35029</v>
      </c>
      <c r="B230" s="9" t="s">
        <v>234</v>
      </c>
      <c r="C230" s="10" t="s">
        <v>7</v>
      </c>
      <c r="D230" s="10">
        <v>1</v>
      </c>
      <c r="E230" s="11">
        <v>49.883453410000001</v>
      </c>
      <c r="F230" s="10">
        <v>659</v>
      </c>
      <c r="G230" s="11">
        <v>0.91618534582065636</v>
      </c>
      <c r="H230" s="12">
        <v>0</v>
      </c>
      <c r="I230" s="10">
        <v>0</v>
      </c>
      <c r="J230" s="13">
        <v>0</v>
      </c>
      <c r="K230" s="14">
        <v>7018</v>
      </c>
      <c r="L230" s="14">
        <v>7045</v>
      </c>
      <c r="M230" s="14">
        <v>1192</v>
      </c>
      <c r="N230" s="15">
        <v>43.551299999999998</v>
      </c>
      <c r="O230" s="11">
        <f t="shared" si="3"/>
        <v>161.14329537809434</v>
      </c>
      <c r="P230" s="10">
        <v>1</v>
      </c>
      <c r="Q230" s="16">
        <v>15412</v>
      </c>
      <c r="R230" s="11">
        <v>11842137.280000001</v>
      </c>
      <c r="S230" s="17">
        <v>70.448853785397802</v>
      </c>
      <c r="T230" s="10">
        <v>0</v>
      </c>
      <c r="U230" s="12">
        <v>1.5148105625717567E-2</v>
      </c>
      <c r="V230" s="14">
        <v>543</v>
      </c>
      <c r="W230" s="11">
        <v>3205.2139000000006</v>
      </c>
      <c r="X230" s="18">
        <v>215</v>
      </c>
    </row>
    <row r="231" spans="1:24" ht="15" customHeight="1" x14ac:dyDescent="0.3">
      <c r="A231" s="9">
        <v>40032</v>
      </c>
      <c r="B231" s="9" t="s">
        <v>235</v>
      </c>
      <c r="C231" s="10" t="s">
        <v>21</v>
      </c>
      <c r="D231" s="10">
        <v>6</v>
      </c>
      <c r="E231" s="11">
        <v>17.104377742</v>
      </c>
      <c r="F231" s="10">
        <v>642</v>
      </c>
      <c r="G231" s="11">
        <v>0.84253623311496262</v>
      </c>
      <c r="H231" s="12">
        <v>0</v>
      </c>
      <c r="I231" s="10">
        <v>0</v>
      </c>
      <c r="J231" s="13">
        <v>0</v>
      </c>
      <c r="K231" s="14">
        <v>6296</v>
      </c>
      <c r="L231" s="14">
        <v>6519</v>
      </c>
      <c r="M231" s="14">
        <v>1280</v>
      </c>
      <c r="N231" s="15">
        <v>91.389799999999994</v>
      </c>
      <c r="O231" s="11">
        <f t="shared" si="3"/>
        <v>68.891714392634626</v>
      </c>
      <c r="P231" s="10">
        <v>20</v>
      </c>
      <c r="Q231" s="16">
        <v>14261</v>
      </c>
      <c r="R231" s="11">
        <v>5825618.7600000016</v>
      </c>
      <c r="S231" s="17">
        <v>69.710838360723955</v>
      </c>
      <c r="T231" s="10">
        <v>0</v>
      </c>
      <c r="U231" s="12">
        <v>0.50006455848561115</v>
      </c>
      <c r="V231" s="14">
        <v>400</v>
      </c>
      <c r="W231" s="11">
        <v>6069.9980000000041</v>
      </c>
      <c r="X231" s="18">
        <v>253</v>
      </c>
    </row>
    <row r="232" spans="1:24" ht="15" customHeight="1" x14ac:dyDescent="0.3">
      <c r="A232" s="9">
        <v>40033</v>
      </c>
      <c r="B232" s="9" t="s">
        <v>236</v>
      </c>
      <c r="C232" s="10" t="s">
        <v>21</v>
      </c>
      <c r="D232" s="10">
        <v>3</v>
      </c>
      <c r="E232" s="11">
        <v>-35.669522519000004</v>
      </c>
      <c r="F232" s="10">
        <v>616</v>
      </c>
      <c r="G232" s="11">
        <v>0.24674766426033856</v>
      </c>
      <c r="H232" s="12">
        <v>0.46450000000000002</v>
      </c>
      <c r="I232" s="10">
        <v>0</v>
      </c>
      <c r="J232" s="13">
        <v>0</v>
      </c>
      <c r="K232" s="14">
        <v>692</v>
      </c>
      <c r="L232" s="14">
        <v>803</v>
      </c>
      <c r="M232" s="14">
        <v>188</v>
      </c>
      <c r="N232" s="15">
        <v>98.562299999999993</v>
      </c>
      <c r="O232" s="11">
        <f t="shared" si="3"/>
        <v>7.0209400551732255</v>
      </c>
      <c r="P232" s="10">
        <v>100</v>
      </c>
      <c r="Q232" s="16">
        <v>13537</v>
      </c>
      <c r="R232" s="11">
        <v>1473186.5300000007</v>
      </c>
      <c r="S232" s="17">
        <v>70.77205882352942</v>
      </c>
      <c r="T232" s="10">
        <v>1</v>
      </c>
      <c r="U232" s="12">
        <v>0.7768952922077923</v>
      </c>
      <c r="V232" s="14">
        <v>51</v>
      </c>
      <c r="W232" s="11">
        <v>2829.7127000000014</v>
      </c>
      <c r="X232" s="18">
        <v>43</v>
      </c>
    </row>
    <row r="233" spans="1:24" ht="15" customHeight="1" x14ac:dyDescent="0.3">
      <c r="A233" s="9">
        <v>36033</v>
      </c>
      <c r="B233" s="26" t="s">
        <v>237</v>
      </c>
      <c r="C233" s="10" t="s">
        <v>27</v>
      </c>
      <c r="D233" s="10">
        <v>3</v>
      </c>
      <c r="E233" s="11">
        <v>55.311477021000002</v>
      </c>
      <c r="F233" s="10">
        <v>686</v>
      </c>
      <c r="G233" s="11">
        <v>0.58808276420491512</v>
      </c>
      <c r="H233" s="12">
        <v>0</v>
      </c>
      <c r="I233" s="10">
        <v>0</v>
      </c>
      <c r="J233" s="13">
        <v>0</v>
      </c>
      <c r="K233" s="14">
        <v>3795</v>
      </c>
      <c r="L233" s="14">
        <v>3773</v>
      </c>
      <c r="M233" s="14">
        <v>692</v>
      </c>
      <c r="N233" s="15">
        <v>79.666399999999996</v>
      </c>
      <c r="O233" s="11">
        <f t="shared" si="3"/>
        <v>47.636142715122062</v>
      </c>
      <c r="P233" s="10">
        <v>37</v>
      </c>
      <c r="Q233" s="16">
        <v>16767</v>
      </c>
      <c r="R233" s="11">
        <v>3874102.75</v>
      </c>
      <c r="S233" s="17">
        <v>72.820343461030376</v>
      </c>
      <c r="T233" s="10">
        <v>1</v>
      </c>
      <c r="U233" s="12">
        <v>0.36378185013179365</v>
      </c>
      <c r="V233" s="14">
        <v>238</v>
      </c>
      <c r="W233" s="11">
        <v>4447.2901000000011</v>
      </c>
      <c r="X233" s="18">
        <v>222</v>
      </c>
    </row>
    <row r="234" spans="1:24" ht="15" customHeight="1" x14ac:dyDescent="0.3">
      <c r="A234" s="9">
        <v>35030</v>
      </c>
      <c r="B234" s="26" t="s">
        <v>238</v>
      </c>
      <c r="C234" s="10" t="s">
        <v>7</v>
      </c>
      <c r="D234" s="10">
        <v>6</v>
      </c>
      <c r="E234" s="11">
        <v>65.313038339999991</v>
      </c>
      <c r="F234" s="10">
        <v>651</v>
      </c>
      <c r="G234" s="11">
        <v>0.90617385467652112</v>
      </c>
      <c r="H234" s="12">
        <v>3.6499999999999998E-2</v>
      </c>
      <c r="I234" s="10">
        <v>0</v>
      </c>
      <c r="J234" s="13">
        <v>0</v>
      </c>
      <c r="K234" s="14">
        <v>13109</v>
      </c>
      <c r="L234" s="14">
        <v>12909</v>
      </c>
      <c r="M234" s="14">
        <v>2418</v>
      </c>
      <c r="N234" s="15">
        <v>46.3063</v>
      </c>
      <c r="O234" s="11">
        <f t="shared" si="3"/>
        <v>283.09322921503122</v>
      </c>
      <c r="P234" s="10">
        <v>1</v>
      </c>
      <c r="Q234" s="16">
        <v>18090</v>
      </c>
      <c r="R234" s="11">
        <v>13437472.209999997</v>
      </c>
      <c r="S234" s="17">
        <v>76.82469468218099</v>
      </c>
      <c r="T234" s="10">
        <v>0</v>
      </c>
      <c r="U234" s="12">
        <v>0.21212697041675665</v>
      </c>
      <c r="V234" s="14">
        <v>1093</v>
      </c>
      <c r="W234" s="11">
        <v>2940.7972</v>
      </c>
      <c r="X234" s="18">
        <v>191</v>
      </c>
    </row>
    <row r="235" spans="1:24" ht="15" customHeight="1" x14ac:dyDescent="0.3">
      <c r="A235" s="9">
        <v>36034</v>
      </c>
      <c r="B235" s="26" t="s">
        <v>239</v>
      </c>
      <c r="C235" s="10" t="s">
        <v>27</v>
      </c>
      <c r="D235" s="10">
        <v>2</v>
      </c>
      <c r="E235" s="11">
        <v>48.653627531999994</v>
      </c>
      <c r="F235" s="10">
        <v>663</v>
      </c>
      <c r="G235" s="11">
        <v>0.91360411024902133</v>
      </c>
      <c r="H235" s="12">
        <v>0</v>
      </c>
      <c r="I235" s="10">
        <v>0</v>
      </c>
      <c r="J235" s="13">
        <v>0</v>
      </c>
      <c r="K235" s="14">
        <v>6255</v>
      </c>
      <c r="L235" s="14">
        <v>6165</v>
      </c>
      <c r="M235" s="14">
        <v>987</v>
      </c>
      <c r="N235" s="15">
        <v>28.5307</v>
      </c>
      <c r="O235" s="11">
        <f t="shared" si="3"/>
        <v>219.2375230891636</v>
      </c>
      <c r="P235" s="10">
        <v>11</v>
      </c>
      <c r="Q235" s="16">
        <v>15324</v>
      </c>
      <c r="R235" s="11">
        <v>5893697.7299999921</v>
      </c>
      <c r="S235" s="17">
        <v>72.424375274002628</v>
      </c>
      <c r="T235" s="10">
        <v>0</v>
      </c>
      <c r="U235" s="12">
        <v>1.5629162285313705E-2</v>
      </c>
      <c r="V235" s="14">
        <v>367</v>
      </c>
      <c r="W235" s="11">
        <v>2376.3612999999996</v>
      </c>
      <c r="X235" s="18">
        <v>132</v>
      </c>
    </row>
    <row r="236" spans="1:24" ht="15" customHeight="1" x14ac:dyDescent="0.3">
      <c r="A236" s="9">
        <v>39014</v>
      </c>
      <c r="B236" s="9" t="s">
        <v>9</v>
      </c>
      <c r="C236" s="10" t="s">
        <v>9</v>
      </c>
      <c r="D236" s="10">
        <v>34</v>
      </c>
      <c r="E236" s="11">
        <v>4015.0235801699996</v>
      </c>
      <c r="F236" s="10">
        <v>671</v>
      </c>
      <c r="G236" s="11">
        <v>0.67442313357423844</v>
      </c>
      <c r="H236" s="12">
        <v>6.6100000000000006E-2</v>
      </c>
      <c r="I236" s="10">
        <v>4</v>
      </c>
      <c r="J236" s="10">
        <v>8</v>
      </c>
      <c r="K236" s="14">
        <v>155751</v>
      </c>
      <c r="L236" s="14">
        <v>153740</v>
      </c>
      <c r="M236" s="14">
        <v>30183</v>
      </c>
      <c r="N236" s="15">
        <v>653.822</v>
      </c>
      <c r="O236" s="11">
        <f t="shared" si="3"/>
        <v>238.21621175182236</v>
      </c>
      <c r="P236" s="10">
        <v>11</v>
      </c>
      <c r="Q236" s="16">
        <v>16682</v>
      </c>
      <c r="R236" s="11">
        <v>215825199.50000018</v>
      </c>
      <c r="S236" s="17">
        <v>71.080748667575861</v>
      </c>
      <c r="T236" s="10">
        <v>0</v>
      </c>
      <c r="U236" s="12">
        <v>5.3723501881251717E-2</v>
      </c>
      <c r="V236" s="14">
        <v>12934</v>
      </c>
      <c r="W236" s="11">
        <v>45874.665699999961</v>
      </c>
      <c r="X236" s="18">
        <v>2459</v>
      </c>
    </row>
    <row r="237" spans="1:24" ht="15" customHeight="1" x14ac:dyDescent="0.3">
      <c r="A237" s="9">
        <v>35033</v>
      </c>
      <c r="B237" s="9" t="s">
        <v>240</v>
      </c>
      <c r="C237" s="10" t="s">
        <v>7</v>
      </c>
      <c r="D237" s="10">
        <v>16</v>
      </c>
      <c r="E237" s="11">
        <v>1118.3264115490001</v>
      </c>
      <c r="F237" s="10">
        <v>652</v>
      </c>
      <c r="G237" s="11">
        <v>0.82837413958371298</v>
      </c>
      <c r="H237" s="12">
        <v>0</v>
      </c>
      <c r="I237" s="10">
        <v>1</v>
      </c>
      <c r="J237" s="10">
        <v>6</v>
      </c>
      <c r="K237" s="14">
        <v>169545</v>
      </c>
      <c r="L237" s="14">
        <v>162082</v>
      </c>
      <c r="M237" s="14">
        <v>27274</v>
      </c>
      <c r="N237" s="15">
        <v>230.6628</v>
      </c>
      <c r="O237" s="11">
        <f t="shared" si="3"/>
        <v>735.03399767972985</v>
      </c>
      <c r="P237" s="10">
        <v>3</v>
      </c>
      <c r="Q237" s="16">
        <v>16885</v>
      </c>
      <c r="R237" s="11">
        <v>199797223.99000022</v>
      </c>
      <c r="S237" s="17">
        <v>72.458015776395442</v>
      </c>
      <c r="T237" s="10">
        <v>0</v>
      </c>
      <c r="U237" s="12">
        <v>2.1182259602878693E-2</v>
      </c>
      <c r="V237" s="14">
        <v>17431</v>
      </c>
      <c r="W237" s="11">
        <v>14857.959300000008</v>
      </c>
      <c r="X237" s="18">
        <v>1237</v>
      </c>
    </row>
    <row r="238" spans="1:24" ht="15" customHeight="1" x14ac:dyDescent="0.3">
      <c r="A238" s="9">
        <v>35032</v>
      </c>
      <c r="B238" s="9" t="s">
        <v>241</v>
      </c>
      <c r="C238" s="10" t="s">
        <v>7</v>
      </c>
      <c r="D238" s="10">
        <v>2</v>
      </c>
      <c r="E238" s="11">
        <v>84.694288970000002</v>
      </c>
      <c r="F238" s="10">
        <v>605</v>
      </c>
      <c r="G238" s="11">
        <v>0.91165370751858432</v>
      </c>
      <c r="H238" s="12">
        <v>0</v>
      </c>
      <c r="I238" s="10">
        <v>1</v>
      </c>
      <c r="J238" s="13">
        <v>0</v>
      </c>
      <c r="K238" s="14">
        <v>9161</v>
      </c>
      <c r="L238" s="14">
        <v>9217</v>
      </c>
      <c r="M238" s="14">
        <v>1441</v>
      </c>
      <c r="N238" s="15">
        <v>42.684800000000003</v>
      </c>
      <c r="O238" s="11">
        <f t="shared" si="3"/>
        <v>214.61972411725014</v>
      </c>
      <c r="P238" s="10">
        <v>12</v>
      </c>
      <c r="Q238" s="16">
        <v>14732</v>
      </c>
      <c r="R238" s="11">
        <v>10608649.789999995</v>
      </c>
      <c r="S238" s="17">
        <v>73.011695906432749</v>
      </c>
      <c r="T238" s="10">
        <v>0</v>
      </c>
      <c r="U238" s="12">
        <v>0.10611527647610122</v>
      </c>
      <c r="V238" s="14">
        <v>784</v>
      </c>
      <c r="W238" s="11">
        <v>3135.8726000000001</v>
      </c>
      <c r="X238" s="18">
        <v>150</v>
      </c>
    </row>
    <row r="239" spans="1:24" ht="15" customHeight="1" x14ac:dyDescent="0.3">
      <c r="A239" s="9">
        <v>99013</v>
      </c>
      <c r="B239" s="9" t="s">
        <v>242</v>
      </c>
      <c r="C239" s="10" t="s">
        <v>30</v>
      </c>
      <c r="D239" s="10">
        <v>0</v>
      </c>
      <c r="E239" s="11">
        <v>127.96864785300001</v>
      </c>
      <c r="F239" s="10">
        <v>634</v>
      </c>
      <c r="G239" s="11">
        <v>0.66531989741136244</v>
      </c>
      <c r="H239" s="12">
        <v>0</v>
      </c>
      <c r="I239" s="10">
        <v>1</v>
      </c>
      <c r="J239" s="13">
        <v>0</v>
      </c>
      <c r="K239" s="14">
        <v>34400</v>
      </c>
      <c r="L239" s="14">
        <v>34536</v>
      </c>
      <c r="M239" s="14">
        <v>6974</v>
      </c>
      <c r="N239" s="15">
        <v>17.504300000000001</v>
      </c>
      <c r="O239" s="11">
        <f t="shared" si="3"/>
        <v>1965.2314002845014</v>
      </c>
      <c r="P239" s="10">
        <v>12</v>
      </c>
      <c r="Q239" s="16">
        <v>15069</v>
      </c>
      <c r="R239" s="11">
        <v>111358783.02000007</v>
      </c>
      <c r="S239" s="17">
        <v>69.505301658846562</v>
      </c>
      <c r="T239" s="10">
        <v>0</v>
      </c>
      <c r="U239" s="12">
        <v>3.1931428571428576E-2</v>
      </c>
      <c r="V239" s="14">
        <v>4881</v>
      </c>
      <c r="W239" s="11">
        <v>307.60799999999995</v>
      </c>
      <c r="X239" s="18">
        <v>44</v>
      </c>
    </row>
    <row r="240" spans="1:24" ht="15" customHeight="1" x14ac:dyDescent="0.3">
      <c r="A240" s="9">
        <v>99014</v>
      </c>
      <c r="B240" s="9" t="s">
        <v>30</v>
      </c>
      <c r="C240" s="10" t="s">
        <v>30</v>
      </c>
      <c r="D240" s="10">
        <v>10</v>
      </c>
      <c r="E240" s="11">
        <v>557.93486907900001</v>
      </c>
      <c r="F240" s="10">
        <v>593</v>
      </c>
      <c r="G240" s="11">
        <v>0.66516570751901882</v>
      </c>
      <c r="H240" s="12">
        <v>0</v>
      </c>
      <c r="I240" s="10">
        <v>5</v>
      </c>
      <c r="J240" s="10">
        <v>3</v>
      </c>
      <c r="K240" s="14">
        <v>149211</v>
      </c>
      <c r="L240" s="14">
        <v>139601</v>
      </c>
      <c r="M240" s="14">
        <v>27784</v>
      </c>
      <c r="N240" s="15">
        <v>135.70679999999999</v>
      </c>
      <c r="O240" s="11">
        <f t="shared" si="3"/>
        <v>1099.5101203476909</v>
      </c>
      <c r="P240" s="10">
        <v>4</v>
      </c>
      <c r="Q240" s="16">
        <v>14939</v>
      </c>
      <c r="R240" s="11">
        <v>261905781.44000003</v>
      </c>
      <c r="S240" s="17">
        <v>69.083322116031766</v>
      </c>
      <c r="T240" s="10">
        <v>0</v>
      </c>
      <c r="U240" s="12">
        <v>4.7171910691916584E-2</v>
      </c>
      <c r="V240" s="14">
        <v>17280</v>
      </c>
      <c r="W240" s="11">
        <v>6043.2812999999915</v>
      </c>
      <c r="X240" s="18">
        <v>998</v>
      </c>
    </row>
    <row r="241" spans="1:24" ht="15" customHeight="1" x14ac:dyDescent="0.3">
      <c r="A241" s="9">
        <v>35034</v>
      </c>
      <c r="B241" s="9" t="s">
        <v>243</v>
      </c>
      <c r="C241" s="10" t="s">
        <v>7</v>
      </c>
      <c r="D241" s="10">
        <v>0</v>
      </c>
      <c r="E241" s="11">
        <v>30.483395827000002</v>
      </c>
      <c r="F241" s="10">
        <v>613</v>
      </c>
      <c r="G241" s="11">
        <v>0.84727433258716667</v>
      </c>
      <c r="H241" s="12">
        <v>0</v>
      </c>
      <c r="I241" s="10">
        <v>0</v>
      </c>
      <c r="J241" s="13">
        <v>0</v>
      </c>
      <c r="K241" s="14">
        <v>6000</v>
      </c>
      <c r="L241" s="14">
        <v>6092</v>
      </c>
      <c r="M241" s="14">
        <v>957</v>
      </c>
      <c r="N241" s="15">
        <v>22.562100000000001</v>
      </c>
      <c r="O241" s="11">
        <f t="shared" si="3"/>
        <v>265.93269243554454</v>
      </c>
      <c r="P241" s="10">
        <v>0</v>
      </c>
      <c r="Q241" s="16">
        <v>15610</v>
      </c>
      <c r="R241" s="11">
        <v>4494236.2300000023</v>
      </c>
      <c r="S241" s="17">
        <v>71.183533447684383</v>
      </c>
      <c r="T241" s="10">
        <v>0</v>
      </c>
      <c r="U241" s="12">
        <v>0</v>
      </c>
      <c r="V241" s="14">
        <v>435</v>
      </c>
      <c r="W241" s="11">
        <v>1793.7293999999995</v>
      </c>
      <c r="X241" s="18">
        <v>138</v>
      </c>
    </row>
    <row r="242" spans="1:24" ht="15" customHeight="1" x14ac:dyDescent="0.3">
      <c r="A242" s="9">
        <v>39015</v>
      </c>
      <c r="B242" s="9" t="s">
        <v>244</v>
      </c>
      <c r="C242" s="10" t="s">
        <v>9</v>
      </c>
      <c r="D242" s="10">
        <v>11</v>
      </c>
      <c r="E242" s="11">
        <v>15.649168696999999</v>
      </c>
      <c r="F242" s="10">
        <v>633</v>
      </c>
      <c r="G242" s="11">
        <v>0.8017081885624282</v>
      </c>
      <c r="H242" s="12">
        <v>9.7699999999999995E-2</v>
      </c>
      <c r="I242" s="10">
        <v>0</v>
      </c>
      <c r="J242" s="13">
        <v>0</v>
      </c>
      <c r="K242" s="14">
        <v>5752</v>
      </c>
      <c r="L242" s="14">
        <v>5777</v>
      </c>
      <c r="M242" s="14">
        <v>1090</v>
      </c>
      <c r="N242" s="15">
        <v>44.258899999999997</v>
      </c>
      <c r="O242" s="11">
        <f t="shared" si="3"/>
        <v>129.96256120237965</v>
      </c>
      <c r="P242" s="10">
        <v>11</v>
      </c>
      <c r="Q242" s="16">
        <v>15300</v>
      </c>
      <c r="R242" s="11">
        <v>5219781.7700000005</v>
      </c>
      <c r="S242" s="17">
        <v>73.782771535580522</v>
      </c>
      <c r="T242" s="10">
        <v>0</v>
      </c>
      <c r="U242" s="12">
        <v>0.16155219159511974</v>
      </c>
      <c r="V242" s="14">
        <v>356</v>
      </c>
      <c r="W242" s="11">
        <v>3278.0009000000009</v>
      </c>
      <c r="X242" s="18">
        <v>170</v>
      </c>
    </row>
    <row r="243" spans="1:24" ht="15" customHeight="1" x14ac:dyDescent="0.3">
      <c r="A243" s="9">
        <v>36035</v>
      </c>
      <c r="B243" s="26" t="s">
        <v>245</v>
      </c>
      <c r="C243" s="10" t="s">
        <v>27</v>
      </c>
      <c r="D243" s="10">
        <v>1</v>
      </c>
      <c r="E243" s="11">
        <v>-27.962107994</v>
      </c>
      <c r="F243" s="10">
        <v>808</v>
      </c>
      <c r="G243" s="11">
        <v>0.44164536874213156</v>
      </c>
      <c r="H243" s="12">
        <v>4.6900000000000004E-2</v>
      </c>
      <c r="I243" s="10">
        <v>0</v>
      </c>
      <c r="J243" s="13">
        <v>0</v>
      </c>
      <c r="K243" s="14">
        <v>665</v>
      </c>
      <c r="L243" s="19">
        <v>759</v>
      </c>
      <c r="M243" s="14">
        <v>171</v>
      </c>
      <c r="N243" s="15">
        <v>44.913600000000002</v>
      </c>
      <c r="O243" s="11">
        <f t="shared" si="3"/>
        <v>14.806205692707776</v>
      </c>
      <c r="P243" s="10">
        <v>94</v>
      </c>
      <c r="Q243" s="16">
        <v>14126</v>
      </c>
      <c r="R243" s="11">
        <v>2292534.9800000009</v>
      </c>
      <c r="S243" s="17">
        <v>73.309608540925268</v>
      </c>
      <c r="T243" s="10">
        <v>1</v>
      </c>
      <c r="U243" s="12">
        <v>0.75364061456245823</v>
      </c>
      <c r="V243" s="14">
        <v>67</v>
      </c>
      <c r="W243" s="11">
        <v>1048.8797</v>
      </c>
      <c r="X243" s="18">
        <v>43</v>
      </c>
    </row>
    <row r="244" spans="1:24" ht="15" customHeight="1" x14ac:dyDescent="0.3">
      <c r="A244" s="9">
        <v>38029</v>
      </c>
      <c r="B244" s="9" t="s">
        <v>246</v>
      </c>
      <c r="C244" s="10" t="s">
        <v>17</v>
      </c>
      <c r="D244" s="10">
        <v>1</v>
      </c>
      <c r="E244" s="11">
        <v>40.353950990000001</v>
      </c>
      <c r="F244" s="10">
        <v>686</v>
      </c>
      <c r="G244" s="11">
        <v>0.82002338892610749</v>
      </c>
      <c r="H244" s="12">
        <v>1.9639484978540775E-3</v>
      </c>
      <c r="I244" s="10">
        <v>0</v>
      </c>
      <c r="J244" s="10">
        <v>1</v>
      </c>
      <c r="K244" s="14">
        <v>7388</v>
      </c>
      <c r="L244" s="20">
        <v>8508</v>
      </c>
      <c r="M244" s="14">
        <v>1983</v>
      </c>
      <c r="N244" s="21">
        <v>111.8359</v>
      </c>
      <c r="O244" s="11">
        <f t="shared" si="3"/>
        <v>66.061076988695049</v>
      </c>
      <c r="P244" s="10">
        <v>62</v>
      </c>
      <c r="Q244" s="23">
        <v>13457</v>
      </c>
      <c r="R244" s="11">
        <v>6754695.2500000019</v>
      </c>
      <c r="S244" s="17">
        <v>65.782537067545306</v>
      </c>
      <c r="T244" s="10">
        <v>0</v>
      </c>
      <c r="U244" s="12">
        <v>5.1186516452074393E-2</v>
      </c>
      <c r="V244" s="14">
        <v>545</v>
      </c>
      <c r="W244" s="11">
        <v>8741.8445000000047</v>
      </c>
      <c r="X244" s="28">
        <v>404</v>
      </c>
    </row>
    <row r="245" spans="1:24" ht="15" customHeight="1" x14ac:dyDescent="0.3">
      <c r="A245" s="9">
        <v>33038</v>
      </c>
      <c r="B245" s="9" t="s">
        <v>247</v>
      </c>
      <c r="C245" s="10" t="s">
        <v>3</v>
      </c>
      <c r="D245" s="10">
        <v>10</v>
      </c>
      <c r="E245" s="11">
        <v>30.631494763999999</v>
      </c>
      <c r="F245" s="10">
        <v>635</v>
      </c>
      <c r="G245" s="11">
        <v>0.73504472687520594</v>
      </c>
      <c r="H245" s="12">
        <v>0</v>
      </c>
      <c r="I245" s="10">
        <v>0</v>
      </c>
      <c r="J245" s="13">
        <v>0</v>
      </c>
      <c r="K245" s="14">
        <v>7037</v>
      </c>
      <c r="L245" s="14">
        <v>6853</v>
      </c>
      <c r="M245" s="14">
        <v>1252</v>
      </c>
      <c r="N245" s="15">
        <v>43.829700000000003</v>
      </c>
      <c r="O245" s="11">
        <f t="shared" si="3"/>
        <v>160.5532321690543</v>
      </c>
      <c r="P245" s="10">
        <v>28.999999999999996</v>
      </c>
      <c r="Q245" s="16">
        <v>18660</v>
      </c>
      <c r="R245" s="11">
        <v>5541048.990000003</v>
      </c>
      <c r="S245" s="17">
        <v>71.871037855460969</v>
      </c>
      <c r="T245" s="10">
        <v>0</v>
      </c>
      <c r="U245" s="12">
        <v>0.20391968971024413</v>
      </c>
      <c r="V245" s="14">
        <v>568</v>
      </c>
      <c r="W245" s="11">
        <v>3372.0302000000024</v>
      </c>
      <c r="X245" s="18">
        <v>129</v>
      </c>
    </row>
    <row r="246" spans="1:24" ht="15" customHeight="1" x14ac:dyDescent="0.3">
      <c r="A246" s="9">
        <v>40036</v>
      </c>
      <c r="B246" s="9" t="s">
        <v>248</v>
      </c>
      <c r="C246" s="10" t="s">
        <v>21</v>
      </c>
      <c r="D246" s="10">
        <v>4</v>
      </c>
      <c r="E246" s="11">
        <v>-6.7856612949999997</v>
      </c>
      <c r="F246" s="10">
        <v>612</v>
      </c>
      <c r="G246" s="11">
        <v>0.85525408359284583</v>
      </c>
      <c r="H246" s="12">
        <v>0</v>
      </c>
      <c r="I246" s="10">
        <v>0</v>
      </c>
      <c r="J246" s="13">
        <v>0</v>
      </c>
      <c r="K246" s="14">
        <v>1798</v>
      </c>
      <c r="L246" s="14">
        <v>2000</v>
      </c>
      <c r="M246" s="14">
        <v>457</v>
      </c>
      <c r="N246" s="15">
        <v>50.558799999999998</v>
      </c>
      <c r="O246" s="11">
        <f t="shared" si="3"/>
        <v>35.562552908692453</v>
      </c>
      <c r="P246" s="10">
        <v>17</v>
      </c>
      <c r="Q246" s="16">
        <v>15110</v>
      </c>
      <c r="R246" s="11">
        <v>2406253.2100000004</v>
      </c>
      <c r="S246" s="17">
        <v>71.466845277963827</v>
      </c>
      <c r="T246" s="10">
        <v>1</v>
      </c>
      <c r="U246" s="12">
        <v>0.53714003164556967</v>
      </c>
      <c r="V246" s="14">
        <v>124</v>
      </c>
      <c r="W246" s="11">
        <v>3778.9876999999983</v>
      </c>
      <c r="X246" s="18">
        <v>70</v>
      </c>
    </row>
    <row r="247" spans="1:24" ht="15" customHeight="1" x14ac:dyDescent="0.3">
      <c r="A247" s="9">
        <v>34030</v>
      </c>
      <c r="B247" s="9" t="s">
        <v>249</v>
      </c>
      <c r="C247" s="10" t="s">
        <v>5</v>
      </c>
      <c r="D247" s="10">
        <v>0</v>
      </c>
      <c r="E247" s="11">
        <v>27.547497329999999</v>
      </c>
      <c r="F247" s="10">
        <v>678</v>
      </c>
      <c r="G247" s="11">
        <v>0.86020398694590283</v>
      </c>
      <c r="H247" s="12">
        <v>2.0000000000000001E-4</v>
      </c>
      <c r="I247" s="10">
        <v>0</v>
      </c>
      <c r="J247" s="13">
        <v>0</v>
      </c>
      <c r="K247" s="14">
        <v>2876</v>
      </c>
      <c r="L247" s="14">
        <v>3069</v>
      </c>
      <c r="M247" s="14">
        <v>577</v>
      </c>
      <c r="N247" s="15">
        <v>40.463000000000001</v>
      </c>
      <c r="O247" s="11">
        <f t="shared" si="3"/>
        <v>71.077280478461802</v>
      </c>
      <c r="P247" s="10">
        <v>0</v>
      </c>
      <c r="Q247" s="16">
        <v>15590</v>
      </c>
      <c r="R247" s="11">
        <v>5988637.1099999985</v>
      </c>
      <c r="S247" s="17">
        <v>67.198905109489047</v>
      </c>
      <c r="T247" s="10">
        <v>1</v>
      </c>
      <c r="U247" s="12">
        <v>5.7058823529411766E-2</v>
      </c>
      <c r="V247" s="14">
        <v>186</v>
      </c>
      <c r="W247" s="11">
        <v>2925.5565000000001</v>
      </c>
      <c r="X247" s="18">
        <v>124</v>
      </c>
    </row>
    <row r="248" spans="1:24" ht="15" customHeight="1" x14ac:dyDescent="0.3">
      <c r="A248" s="9">
        <v>35035</v>
      </c>
      <c r="B248" s="9" t="s">
        <v>250</v>
      </c>
      <c r="C248" s="10" t="s">
        <v>7</v>
      </c>
      <c r="D248" s="10">
        <v>2</v>
      </c>
      <c r="E248" s="11">
        <v>40.583547658000001</v>
      </c>
      <c r="F248" s="10">
        <v>537</v>
      </c>
      <c r="G248" s="11">
        <v>0.92468473302187104</v>
      </c>
      <c r="H248" s="12">
        <v>0</v>
      </c>
      <c r="I248" s="10">
        <v>1</v>
      </c>
      <c r="J248" s="13">
        <v>0</v>
      </c>
      <c r="K248" s="14">
        <v>3989</v>
      </c>
      <c r="L248" s="14">
        <v>4038</v>
      </c>
      <c r="M248" s="14">
        <v>658</v>
      </c>
      <c r="N248" s="15">
        <v>14.173299999999999</v>
      </c>
      <c r="O248" s="11">
        <f t="shared" si="3"/>
        <v>281.44468825185385</v>
      </c>
      <c r="P248" s="10">
        <v>0</v>
      </c>
      <c r="Q248" s="16">
        <v>14771</v>
      </c>
      <c r="R248" s="11">
        <v>3573925.189999999</v>
      </c>
      <c r="S248" s="17">
        <v>73.427844420210832</v>
      </c>
      <c r="T248" s="10">
        <v>1</v>
      </c>
      <c r="U248" s="12">
        <v>1.2067748764996472E-2</v>
      </c>
      <c r="V248" s="14">
        <v>298</v>
      </c>
      <c r="W248" s="11">
        <v>955.92560000000026</v>
      </c>
      <c r="X248" s="18">
        <v>81</v>
      </c>
    </row>
    <row r="249" spans="1:24" ht="15" customHeight="1" x14ac:dyDescent="0.3">
      <c r="A249" s="9">
        <v>40037</v>
      </c>
      <c r="B249" s="9" t="s">
        <v>251</v>
      </c>
      <c r="C249" s="10" t="s">
        <v>21</v>
      </c>
      <c r="D249" s="10">
        <v>8</v>
      </c>
      <c r="E249" s="11">
        <v>-2.2796178630000004</v>
      </c>
      <c r="F249" s="10">
        <v>662</v>
      </c>
      <c r="G249" s="11">
        <v>0.80816162896155941</v>
      </c>
      <c r="H249" s="12">
        <v>0</v>
      </c>
      <c r="I249" s="10">
        <v>0</v>
      </c>
      <c r="J249" s="13">
        <v>0</v>
      </c>
      <c r="K249" s="14">
        <v>3422</v>
      </c>
      <c r="L249" s="14">
        <v>3395</v>
      </c>
      <c r="M249" s="14">
        <v>520</v>
      </c>
      <c r="N249" s="15">
        <v>51.526800000000001</v>
      </c>
      <c r="O249" s="11">
        <f t="shared" si="3"/>
        <v>66.41204188888112</v>
      </c>
      <c r="P249" s="10">
        <v>28.999999999999996</v>
      </c>
      <c r="Q249" s="16">
        <v>14269</v>
      </c>
      <c r="R249" s="11">
        <v>3033827.879999999</v>
      </c>
      <c r="S249" s="17">
        <v>72.494172494172489</v>
      </c>
      <c r="T249" s="10">
        <v>1</v>
      </c>
      <c r="U249" s="12">
        <v>0.4070948961769843</v>
      </c>
      <c r="V249" s="14">
        <v>209</v>
      </c>
      <c r="W249" s="11">
        <v>3268.8618999999999</v>
      </c>
      <c r="X249" s="18">
        <v>264</v>
      </c>
    </row>
    <row r="250" spans="1:24" ht="15" customHeight="1" x14ac:dyDescent="0.3">
      <c r="A250" s="9">
        <v>33039</v>
      </c>
      <c r="B250" s="9" t="s">
        <v>252</v>
      </c>
      <c r="C250" s="10" t="s">
        <v>3</v>
      </c>
      <c r="D250" s="10">
        <v>0</v>
      </c>
      <c r="E250" s="11">
        <v>67.398492648999991</v>
      </c>
      <c r="F250" s="10">
        <v>604</v>
      </c>
      <c r="G250" s="11">
        <v>0.6984694227552759</v>
      </c>
      <c r="H250" s="12">
        <v>0</v>
      </c>
      <c r="I250" s="10">
        <v>2</v>
      </c>
      <c r="J250" s="10">
        <v>2</v>
      </c>
      <c r="K250" s="14">
        <v>12206</v>
      </c>
      <c r="L250" s="14">
        <v>11641</v>
      </c>
      <c r="M250" s="14">
        <v>1843</v>
      </c>
      <c r="N250" s="15">
        <v>35.1678</v>
      </c>
      <c r="O250" s="11">
        <f t="shared" si="3"/>
        <v>347.07886191345494</v>
      </c>
      <c r="P250" s="10">
        <v>6</v>
      </c>
      <c r="Q250" s="16">
        <v>15916</v>
      </c>
      <c r="R250" s="11">
        <v>9243474.9500000011</v>
      </c>
      <c r="S250" s="17">
        <v>68.246235606731616</v>
      </c>
      <c r="T250" s="10">
        <v>0</v>
      </c>
      <c r="U250" s="12">
        <v>8.413989195336935E-2</v>
      </c>
      <c r="V250" s="14">
        <v>745</v>
      </c>
      <c r="W250" s="11">
        <v>2653.9003000000002</v>
      </c>
      <c r="X250" s="18">
        <v>67</v>
      </c>
    </row>
    <row r="251" spans="1:24" ht="15" customHeight="1" x14ac:dyDescent="0.3">
      <c r="A251" s="9">
        <v>35036</v>
      </c>
      <c r="B251" s="9" t="s">
        <v>253</v>
      </c>
      <c r="C251" s="10" t="s">
        <v>7</v>
      </c>
      <c r="D251" s="10">
        <v>2</v>
      </c>
      <c r="E251" s="11">
        <v>218.30076267499999</v>
      </c>
      <c r="F251" s="10">
        <v>636</v>
      </c>
      <c r="G251" s="11">
        <v>0.89982933366716367</v>
      </c>
      <c r="H251" s="12">
        <v>5.3200000000000004E-2</v>
      </c>
      <c r="I251" s="10">
        <v>1</v>
      </c>
      <c r="J251" s="10">
        <v>1</v>
      </c>
      <c r="K251" s="14">
        <v>14680</v>
      </c>
      <c r="L251" s="14">
        <v>14421</v>
      </c>
      <c r="M251" s="14">
        <v>2331</v>
      </c>
      <c r="N251" s="15">
        <v>25.194500000000001</v>
      </c>
      <c r="O251" s="11">
        <f t="shared" si="3"/>
        <v>582.66685189227803</v>
      </c>
      <c r="P251" s="10">
        <v>9</v>
      </c>
      <c r="Q251" s="16">
        <v>17559</v>
      </c>
      <c r="R251" s="11">
        <v>13988122.500000002</v>
      </c>
      <c r="S251" s="17">
        <v>74.127254778784888</v>
      </c>
      <c r="T251" s="10">
        <v>0</v>
      </c>
      <c r="U251" s="12">
        <v>1.8789202064311235E-2</v>
      </c>
      <c r="V251" s="14">
        <v>1236</v>
      </c>
      <c r="W251" s="11">
        <v>1434.1995999999997</v>
      </c>
      <c r="X251" s="18">
        <v>152</v>
      </c>
    </row>
    <row r="252" spans="1:24" ht="15" customHeight="1" x14ac:dyDescent="0.3">
      <c r="A252" s="9">
        <v>39016</v>
      </c>
      <c r="B252" s="9" t="s">
        <v>254</v>
      </c>
      <c r="C252" s="10" t="s">
        <v>9</v>
      </c>
      <c r="D252" s="10">
        <v>2</v>
      </c>
      <c r="E252" s="11">
        <v>80.838378579999997</v>
      </c>
      <c r="F252" s="10">
        <v>643</v>
      </c>
      <c r="G252" s="11">
        <v>0.83112220400689629</v>
      </c>
      <c r="H252" s="12">
        <v>0</v>
      </c>
      <c r="I252" s="10">
        <v>2</v>
      </c>
      <c r="J252" s="13">
        <v>0</v>
      </c>
      <c r="K252" s="14">
        <v>12190</v>
      </c>
      <c r="L252" s="19">
        <v>12083</v>
      </c>
      <c r="M252" s="14">
        <v>2456</v>
      </c>
      <c r="N252" s="15">
        <v>46.264499999999998</v>
      </c>
      <c r="O252" s="11">
        <f t="shared" si="3"/>
        <v>263.48496147153867</v>
      </c>
      <c r="P252" s="10">
        <v>0</v>
      </c>
      <c r="Q252" s="16">
        <v>15723</v>
      </c>
      <c r="R252" s="11">
        <v>12263851.860000007</v>
      </c>
      <c r="S252" s="17">
        <v>72.949483976099955</v>
      </c>
      <c r="T252" s="10">
        <v>0</v>
      </c>
      <c r="U252" s="12">
        <v>1.9241245136186771E-2</v>
      </c>
      <c r="V252" s="14">
        <v>929</v>
      </c>
      <c r="W252" s="11">
        <v>3462.0952999999977</v>
      </c>
      <c r="X252" s="18">
        <v>333</v>
      </c>
    </row>
    <row r="253" spans="1:24" ht="15" customHeight="1" x14ac:dyDescent="0.3">
      <c r="A253" s="9">
        <v>34031</v>
      </c>
      <c r="B253" s="9" t="s">
        <v>255</v>
      </c>
      <c r="C253" s="10" t="s">
        <v>5</v>
      </c>
      <c r="D253" s="10">
        <v>1</v>
      </c>
      <c r="E253" s="11">
        <v>21.144964860999998</v>
      </c>
      <c r="F253" s="10">
        <v>642</v>
      </c>
      <c r="G253" s="11">
        <v>0.85635040841574706</v>
      </c>
      <c r="H253" s="12">
        <v>0.27279999999999999</v>
      </c>
      <c r="I253" s="10">
        <v>0</v>
      </c>
      <c r="J253" s="10">
        <v>2</v>
      </c>
      <c r="K253" s="14">
        <v>5888</v>
      </c>
      <c r="L253" s="14">
        <v>5392</v>
      </c>
      <c r="M253" s="14">
        <v>971</v>
      </c>
      <c r="N253" s="15">
        <v>30.755400000000002</v>
      </c>
      <c r="O253" s="11">
        <f t="shared" si="3"/>
        <v>191.44605500172327</v>
      </c>
      <c r="P253" s="10">
        <v>20</v>
      </c>
      <c r="Q253" s="16">
        <v>19798</v>
      </c>
      <c r="R253" s="11">
        <v>7650005.2900000028</v>
      </c>
      <c r="S253" s="17">
        <v>72.102299389957764</v>
      </c>
      <c r="T253" s="10">
        <v>0</v>
      </c>
      <c r="U253" s="12">
        <v>0.3929063719115734</v>
      </c>
      <c r="V253" s="14">
        <v>497</v>
      </c>
      <c r="W253" s="11">
        <v>1497.3491000000006</v>
      </c>
      <c r="X253" s="18">
        <v>55</v>
      </c>
    </row>
    <row r="254" spans="1:24" ht="15" customHeight="1" x14ac:dyDescent="0.3">
      <c r="A254" s="9">
        <v>37050</v>
      </c>
      <c r="B254" s="9" t="s">
        <v>256</v>
      </c>
      <c r="C254" s="10" t="s">
        <v>13</v>
      </c>
      <c r="D254" s="10">
        <v>2</v>
      </c>
      <c r="E254" s="11">
        <v>44.133987894000001</v>
      </c>
      <c r="F254" s="10">
        <v>658</v>
      </c>
      <c r="G254" s="11">
        <v>0.80904718521364416</v>
      </c>
      <c r="H254" s="12">
        <v>0</v>
      </c>
      <c r="I254" s="10">
        <v>1</v>
      </c>
      <c r="J254" s="13">
        <v>0</v>
      </c>
      <c r="K254" s="14">
        <v>8407</v>
      </c>
      <c r="L254" s="19">
        <v>8245</v>
      </c>
      <c r="M254" s="14">
        <v>1354</v>
      </c>
      <c r="N254" s="15">
        <v>45.6374</v>
      </c>
      <c r="O254" s="11">
        <f t="shared" si="3"/>
        <v>184.21294815217342</v>
      </c>
      <c r="P254" s="10">
        <v>7.0000000000000009</v>
      </c>
      <c r="Q254" s="16">
        <v>17517</v>
      </c>
      <c r="R254" s="11">
        <v>7716210.2100000018</v>
      </c>
      <c r="S254" s="17">
        <v>77.131901840490798</v>
      </c>
      <c r="T254" s="10">
        <v>0</v>
      </c>
      <c r="U254" s="12">
        <v>2.2074934268185804E-2</v>
      </c>
      <c r="V254" s="14">
        <v>655</v>
      </c>
      <c r="W254" s="11">
        <v>3534.2003000000004</v>
      </c>
      <c r="X254" s="18">
        <v>155</v>
      </c>
    </row>
    <row r="255" spans="1:24" ht="15" customHeight="1" x14ac:dyDescent="0.3">
      <c r="A255" s="9">
        <v>34032</v>
      </c>
      <c r="B255" s="9" t="s">
        <v>257</v>
      </c>
      <c r="C255" s="10" t="s">
        <v>5</v>
      </c>
      <c r="D255" s="10">
        <v>9</v>
      </c>
      <c r="E255" s="11">
        <v>59.215031206999996</v>
      </c>
      <c r="F255" s="10">
        <v>649</v>
      </c>
      <c r="G255" s="11">
        <v>0.730287992210778</v>
      </c>
      <c r="H255" s="12">
        <v>7.980000000000001E-2</v>
      </c>
      <c r="I255" s="10">
        <v>1</v>
      </c>
      <c r="J255" s="13">
        <v>0</v>
      </c>
      <c r="K255" s="14">
        <v>19990</v>
      </c>
      <c r="L255" s="14">
        <v>19505</v>
      </c>
      <c r="M255" s="14">
        <v>3823</v>
      </c>
      <c r="N255" s="15">
        <v>81.500100000000003</v>
      </c>
      <c r="O255" s="11">
        <f t="shared" si="3"/>
        <v>245.27577266776359</v>
      </c>
      <c r="P255" s="10">
        <v>5</v>
      </c>
      <c r="Q255" s="16">
        <v>15533</v>
      </c>
      <c r="R255" s="11">
        <v>20968001.82</v>
      </c>
      <c r="S255" s="17">
        <v>66.623798565046698</v>
      </c>
      <c r="T255" s="10">
        <v>0</v>
      </c>
      <c r="U255" s="12">
        <v>0.29023926380368098</v>
      </c>
      <c r="V255" s="14">
        <v>1420</v>
      </c>
      <c r="W255" s="11">
        <v>4614.2300999999989</v>
      </c>
      <c r="X255" s="18">
        <v>267</v>
      </c>
    </row>
    <row r="256" spans="1:24" ht="15" customHeight="1" x14ac:dyDescent="0.3">
      <c r="A256" s="9">
        <v>99015</v>
      </c>
      <c r="B256" s="9" t="s">
        <v>258</v>
      </c>
      <c r="C256" s="10" t="s">
        <v>30</v>
      </c>
      <c r="D256" s="10">
        <v>6</v>
      </c>
      <c r="E256" s="11">
        <v>10.248872441</v>
      </c>
      <c r="F256" s="10">
        <v>641</v>
      </c>
      <c r="G256" s="11">
        <v>0.47182479559087337</v>
      </c>
      <c r="H256" s="12">
        <v>0</v>
      </c>
      <c r="I256" s="10">
        <v>0</v>
      </c>
      <c r="J256" s="13">
        <v>0</v>
      </c>
      <c r="K256" s="14">
        <v>3086</v>
      </c>
      <c r="L256" s="14">
        <v>3028</v>
      </c>
      <c r="M256" s="14">
        <v>465</v>
      </c>
      <c r="N256" s="15">
        <v>34.265599999999999</v>
      </c>
      <c r="O256" s="11">
        <f t="shared" si="3"/>
        <v>90.061169219275314</v>
      </c>
      <c r="P256" s="10">
        <v>65</v>
      </c>
      <c r="Q256" s="16">
        <v>11086</v>
      </c>
      <c r="R256" s="11">
        <v>2839409.5599999996</v>
      </c>
      <c r="S256" s="17">
        <v>63.288477712363331</v>
      </c>
      <c r="T256" s="10">
        <v>1</v>
      </c>
      <c r="U256" s="12">
        <v>0.10698570177998248</v>
      </c>
      <c r="V256" s="14">
        <v>197</v>
      </c>
      <c r="W256" s="11">
        <v>1830.2917000000007</v>
      </c>
      <c r="X256" s="18">
        <v>207</v>
      </c>
    </row>
    <row r="257" spans="1:24" ht="15" customHeight="1" x14ac:dyDescent="0.3">
      <c r="A257" s="9">
        <v>37051</v>
      </c>
      <c r="B257" s="9" t="s">
        <v>259</v>
      </c>
      <c r="C257" s="10" t="s">
        <v>13</v>
      </c>
      <c r="D257" s="10">
        <v>7</v>
      </c>
      <c r="E257" s="11">
        <v>17.411701950000001</v>
      </c>
      <c r="F257" s="10">
        <v>704</v>
      </c>
      <c r="G257" s="11">
        <v>0.50922060318406737</v>
      </c>
      <c r="H257" s="12">
        <v>0</v>
      </c>
      <c r="I257" s="10">
        <v>1</v>
      </c>
      <c r="J257" s="13">
        <v>0</v>
      </c>
      <c r="K257" s="14">
        <v>4189</v>
      </c>
      <c r="L257" s="14">
        <v>4393</v>
      </c>
      <c r="M257" s="14">
        <v>841</v>
      </c>
      <c r="N257" s="15">
        <v>66.4726</v>
      </c>
      <c r="O257" s="11">
        <f t="shared" si="3"/>
        <v>63.018446698338863</v>
      </c>
      <c r="P257" s="10">
        <v>100</v>
      </c>
      <c r="Q257" s="16">
        <v>15817</v>
      </c>
      <c r="R257" s="11">
        <v>5470333.7299999977</v>
      </c>
      <c r="S257" s="17">
        <v>71.415876777251185</v>
      </c>
      <c r="T257" s="10">
        <v>1</v>
      </c>
      <c r="U257" s="12">
        <v>0.6618775387392809</v>
      </c>
      <c r="V257" s="14">
        <v>344</v>
      </c>
      <c r="W257" s="11">
        <v>1900.5138000000002</v>
      </c>
      <c r="X257" s="18">
        <v>92</v>
      </c>
    </row>
    <row r="258" spans="1:24" ht="15" customHeight="1" x14ac:dyDescent="0.3">
      <c r="A258" s="9">
        <v>36036</v>
      </c>
      <c r="B258" s="9" t="s">
        <v>260</v>
      </c>
      <c r="C258" s="10" t="s">
        <v>27</v>
      </c>
      <c r="D258" s="10">
        <v>4</v>
      </c>
      <c r="E258" s="11">
        <v>101.96688409000001</v>
      </c>
      <c r="F258" s="10">
        <v>668</v>
      </c>
      <c r="G258" s="11">
        <v>0.91004647249110016</v>
      </c>
      <c r="H258" s="12">
        <v>0</v>
      </c>
      <c r="I258" s="10">
        <v>0</v>
      </c>
      <c r="J258" s="13">
        <v>0</v>
      </c>
      <c r="K258" s="14">
        <v>6601</v>
      </c>
      <c r="L258" s="14">
        <v>6117</v>
      </c>
      <c r="M258" s="14">
        <v>1150</v>
      </c>
      <c r="N258" s="15">
        <v>27.310199999999998</v>
      </c>
      <c r="O258" s="11">
        <f t="shared" ref="O258:O321" si="4">K258/N258</f>
        <v>241.70456459491328</v>
      </c>
      <c r="P258" s="10">
        <v>10</v>
      </c>
      <c r="Q258" s="16">
        <v>16500</v>
      </c>
      <c r="R258" s="11">
        <v>6706330.0199999996</v>
      </c>
      <c r="S258" s="17">
        <v>74.701195219123505</v>
      </c>
      <c r="T258" s="10">
        <v>0</v>
      </c>
      <c r="U258" s="12">
        <v>6.4884657634566092E-2</v>
      </c>
      <c r="V258" s="14">
        <v>490</v>
      </c>
      <c r="W258" s="11">
        <v>1548.0891999999994</v>
      </c>
      <c r="X258" s="18">
        <v>193</v>
      </c>
    </row>
    <row r="259" spans="1:24" ht="15" customHeight="1" x14ac:dyDescent="0.3">
      <c r="A259" s="9">
        <v>99016</v>
      </c>
      <c r="B259" s="9" t="s">
        <v>261</v>
      </c>
      <c r="C259" s="10" t="s">
        <v>30</v>
      </c>
      <c r="D259" s="10">
        <v>2</v>
      </c>
      <c r="E259" s="11">
        <v>94.836176197</v>
      </c>
      <c r="F259" s="10">
        <v>640</v>
      </c>
      <c r="G259" s="11">
        <v>0.77266023595359934</v>
      </c>
      <c r="H259" s="12">
        <v>0</v>
      </c>
      <c r="I259" s="10">
        <v>0</v>
      </c>
      <c r="J259" s="13">
        <v>0</v>
      </c>
      <c r="K259" s="14">
        <v>5718</v>
      </c>
      <c r="L259" s="14">
        <v>5234</v>
      </c>
      <c r="M259" s="14">
        <v>689</v>
      </c>
      <c r="N259" s="15">
        <v>20.696100000000001</v>
      </c>
      <c r="O259" s="11">
        <f t="shared" si="4"/>
        <v>276.28393755345206</v>
      </c>
      <c r="P259" s="10">
        <v>28.999999999999996</v>
      </c>
      <c r="Q259" s="16">
        <v>12518</v>
      </c>
      <c r="R259" s="11">
        <v>6142312.870000001</v>
      </c>
      <c r="S259" s="17">
        <v>64.506024096385545</v>
      </c>
      <c r="T259" s="10">
        <v>0</v>
      </c>
      <c r="U259" s="12">
        <v>3.3714975845410632E-2</v>
      </c>
      <c r="V259" s="14">
        <v>431</v>
      </c>
      <c r="W259" s="11">
        <v>1381.0512999999994</v>
      </c>
      <c r="X259" s="18">
        <v>171</v>
      </c>
    </row>
    <row r="260" spans="1:24" ht="15" customHeight="1" x14ac:dyDescent="0.3">
      <c r="A260" s="9">
        <v>36037</v>
      </c>
      <c r="B260" s="9" t="s">
        <v>262</v>
      </c>
      <c r="C260" s="10" t="s">
        <v>27</v>
      </c>
      <c r="D260" s="10">
        <v>0</v>
      </c>
      <c r="E260" s="11">
        <v>34.575315579999994</v>
      </c>
      <c r="F260" s="10">
        <v>648</v>
      </c>
      <c r="G260" s="11">
        <v>0.92358709951488482</v>
      </c>
      <c r="H260" s="12">
        <v>0</v>
      </c>
      <c r="I260" s="10">
        <v>1</v>
      </c>
      <c r="J260" s="13">
        <v>0</v>
      </c>
      <c r="K260" s="14">
        <v>10697</v>
      </c>
      <c r="L260" s="14">
        <v>11026</v>
      </c>
      <c r="M260" s="14">
        <v>1839</v>
      </c>
      <c r="N260" s="15">
        <v>51.664400000000001</v>
      </c>
      <c r="O260" s="11">
        <f t="shared" si="4"/>
        <v>207.04779306446991</v>
      </c>
      <c r="P260" s="10">
        <v>13</v>
      </c>
      <c r="Q260" s="16">
        <v>15405</v>
      </c>
      <c r="R260" s="11">
        <v>13665435.399999989</v>
      </c>
      <c r="S260" s="17">
        <v>72.858068697342844</v>
      </c>
      <c r="T260" s="10">
        <v>0</v>
      </c>
      <c r="U260" s="12">
        <v>9.7715834301200146E-3</v>
      </c>
      <c r="V260" s="14">
        <v>833</v>
      </c>
      <c r="W260" s="11">
        <v>4117.1981999999998</v>
      </c>
      <c r="X260" s="18">
        <v>326</v>
      </c>
    </row>
    <row r="261" spans="1:24" ht="15" customHeight="1" x14ac:dyDescent="0.3">
      <c r="A261" s="9">
        <v>37052</v>
      </c>
      <c r="B261" s="9" t="s">
        <v>263</v>
      </c>
      <c r="C261" s="10" t="s">
        <v>13</v>
      </c>
      <c r="D261" s="10">
        <v>1</v>
      </c>
      <c r="E261" s="11">
        <v>61.535189852999999</v>
      </c>
      <c r="F261" s="10">
        <v>591</v>
      </c>
      <c r="G261" s="11">
        <v>0.82782548069093176</v>
      </c>
      <c r="H261" s="12">
        <v>0</v>
      </c>
      <c r="I261" s="10">
        <v>1</v>
      </c>
      <c r="J261" s="13">
        <v>0</v>
      </c>
      <c r="K261" s="14">
        <v>9376</v>
      </c>
      <c r="L261" s="14">
        <v>8201</v>
      </c>
      <c r="M261" s="14">
        <v>1543</v>
      </c>
      <c r="N261" s="15">
        <v>30.4331</v>
      </c>
      <c r="O261" s="11">
        <f t="shared" si="4"/>
        <v>308.08560416125863</v>
      </c>
      <c r="P261" s="10">
        <v>1</v>
      </c>
      <c r="Q261" s="16">
        <v>17849</v>
      </c>
      <c r="R261" s="11">
        <v>8868747.0100000054</v>
      </c>
      <c r="S261" s="17">
        <v>75.158318940702358</v>
      </c>
      <c r="T261" s="10">
        <v>0</v>
      </c>
      <c r="U261" s="12">
        <v>9.917844232665134E-3</v>
      </c>
      <c r="V261" s="14">
        <v>761</v>
      </c>
      <c r="W261" s="11">
        <v>2335.8292999999994</v>
      </c>
      <c r="X261" s="18">
        <v>146</v>
      </c>
    </row>
    <row r="262" spans="1:24" ht="15" customHeight="1" x14ac:dyDescent="0.3">
      <c r="A262" s="9">
        <v>33040</v>
      </c>
      <c r="B262" s="9" t="s">
        <v>264</v>
      </c>
      <c r="C262" s="10" t="s">
        <v>3</v>
      </c>
      <c r="D262" s="10">
        <v>3</v>
      </c>
      <c r="E262" s="11">
        <v>26.308500394999999</v>
      </c>
      <c r="F262" s="10">
        <v>647</v>
      </c>
      <c r="G262" s="11">
        <v>0.88330787764494523</v>
      </c>
      <c r="H262" s="12">
        <v>0</v>
      </c>
      <c r="I262" s="10">
        <v>0</v>
      </c>
      <c r="J262" s="13">
        <v>0</v>
      </c>
      <c r="K262" s="14">
        <v>5533</v>
      </c>
      <c r="L262" s="14">
        <v>5818</v>
      </c>
      <c r="M262" s="14">
        <v>1002</v>
      </c>
      <c r="N262" s="15">
        <v>49.194800000000001</v>
      </c>
      <c r="O262" s="11">
        <f t="shared" si="4"/>
        <v>112.47123679738509</v>
      </c>
      <c r="P262" s="10">
        <v>12</v>
      </c>
      <c r="Q262" s="16">
        <v>16060</v>
      </c>
      <c r="R262" s="11">
        <v>3942534.760000003</v>
      </c>
      <c r="S262" s="17">
        <v>70.606956126392362</v>
      </c>
      <c r="T262" s="10">
        <v>0</v>
      </c>
      <c r="U262" s="12">
        <v>6.1150640374059768E-2</v>
      </c>
      <c r="V262" s="14">
        <v>359</v>
      </c>
      <c r="W262" s="11">
        <v>4196.6596999999992</v>
      </c>
      <c r="X262" s="18">
        <v>125</v>
      </c>
    </row>
    <row r="263" spans="1:24" ht="15" customHeight="1" x14ac:dyDescent="0.3">
      <c r="A263" s="9">
        <v>99017</v>
      </c>
      <c r="B263" s="9" t="s">
        <v>265</v>
      </c>
      <c r="C263" s="10" t="s">
        <v>30</v>
      </c>
      <c r="D263" s="10">
        <v>2</v>
      </c>
      <c r="E263" s="11">
        <v>49.595399408000006</v>
      </c>
      <c r="F263" s="10">
        <v>699</v>
      </c>
      <c r="G263" s="11">
        <v>0.8082550045101804</v>
      </c>
      <c r="H263" s="12">
        <v>0</v>
      </c>
      <c r="I263" s="10">
        <v>0</v>
      </c>
      <c r="J263" s="13">
        <v>0</v>
      </c>
      <c r="K263" s="14">
        <v>9408</v>
      </c>
      <c r="L263" s="14">
        <v>8973</v>
      </c>
      <c r="M263" s="14">
        <v>1629</v>
      </c>
      <c r="N263" s="15">
        <v>21.373999999999999</v>
      </c>
      <c r="O263" s="11">
        <f t="shared" si="4"/>
        <v>440.16094320202114</v>
      </c>
      <c r="P263" s="10">
        <v>4</v>
      </c>
      <c r="Q263" s="16">
        <v>14572</v>
      </c>
      <c r="R263" s="11">
        <v>7979507.6700000018</v>
      </c>
      <c r="S263" s="17">
        <v>70.429447852760745</v>
      </c>
      <c r="T263" s="10">
        <v>0</v>
      </c>
      <c r="U263" s="12">
        <v>3.4141319606925589E-2</v>
      </c>
      <c r="V263" s="14">
        <v>985</v>
      </c>
      <c r="W263" s="11">
        <v>1005.2602999999997</v>
      </c>
      <c r="X263" s="18">
        <v>158</v>
      </c>
    </row>
    <row r="264" spans="1:24" ht="15" customHeight="1" x14ac:dyDescent="0.3">
      <c r="A264" s="9">
        <v>37053</v>
      </c>
      <c r="B264" s="9" t="s">
        <v>266</v>
      </c>
      <c r="C264" s="10" t="s">
        <v>13</v>
      </c>
      <c r="D264" s="10">
        <v>2</v>
      </c>
      <c r="E264" s="11">
        <v>133.9548748</v>
      </c>
      <c r="F264" s="10">
        <v>609</v>
      </c>
      <c r="G264" s="11">
        <v>0.87292654325682006</v>
      </c>
      <c r="H264" s="12">
        <v>0</v>
      </c>
      <c r="I264" s="10">
        <v>1</v>
      </c>
      <c r="J264" s="13">
        <v>0</v>
      </c>
      <c r="K264" s="14">
        <v>27720</v>
      </c>
      <c r="L264" s="14">
        <v>26992</v>
      </c>
      <c r="M264" s="14">
        <v>5120</v>
      </c>
      <c r="N264" s="15">
        <v>114.4123</v>
      </c>
      <c r="O264" s="11">
        <f t="shared" si="4"/>
        <v>242.28164279539874</v>
      </c>
      <c r="P264" s="10">
        <v>5</v>
      </c>
      <c r="Q264" s="16">
        <v>17588</v>
      </c>
      <c r="R264" s="11">
        <v>32653309.61999999</v>
      </c>
      <c r="S264" s="17">
        <v>76.87453600593912</v>
      </c>
      <c r="T264" s="10">
        <v>0</v>
      </c>
      <c r="U264" s="12">
        <v>2.3297788654837868E-2</v>
      </c>
      <c r="V264" s="14">
        <v>2376</v>
      </c>
      <c r="W264" s="11">
        <v>9228.3244899999936</v>
      </c>
      <c r="X264" s="18">
        <v>452</v>
      </c>
    </row>
    <row r="265" spans="1:24" ht="15" customHeight="1" x14ac:dyDescent="0.3">
      <c r="A265" s="9">
        <v>37054</v>
      </c>
      <c r="B265" s="9" t="s">
        <v>267</v>
      </c>
      <c r="C265" s="10" t="s">
        <v>13</v>
      </c>
      <c r="D265" s="10">
        <v>4</v>
      </c>
      <c r="E265" s="11">
        <v>156.89696075099999</v>
      </c>
      <c r="F265" s="10">
        <v>611</v>
      </c>
      <c r="G265" s="11">
        <v>0.55313544315645324</v>
      </c>
      <c r="H265" s="12">
        <v>0.34009999999999996</v>
      </c>
      <c r="I265" s="10">
        <v>0</v>
      </c>
      <c r="J265" s="13">
        <v>0</v>
      </c>
      <c r="K265" s="14">
        <v>32614</v>
      </c>
      <c r="L265" s="14">
        <v>31091</v>
      </c>
      <c r="M265" s="14">
        <v>6974</v>
      </c>
      <c r="N265" s="15">
        <v>44.724699999999999</v>
      </c>
      <c r="O265" s="11">
        <f t="shared" si="4"/>
        <v>729.21674153208403</v>
      </c>
      <c r="P265" s="10">
        <v>0</v>
      </c>
      <c r="Q265" s="16">
        <v>21762</v>
      </c>
      <c r="R265" s="11">
        <v>43482504.110000014</v>
      </c>
      <c r="S265" s="17">
        <v>76.650519571841542</v>
      </c>
      <c r="T265" s="10">
        <v>0</v>
      </c>
      <c r="U265" s="12">
        <v>0.21200581395348839</v>
      </c>
      <c r="V265" s="14">
        <v>3183</v>
      </c>
      <c r="W265" s="11">
        <v>2098.9206999999992</v>
      </c>
      <c r="X265" s="18">
        <v>130</v>
      </c>
    </row>
    <row r="266" spans="1:24" ht="15" customHeight="1" x14ac:dyDescent="0.3">
      <c r="A266" s="9">
        <v>99025</v>
      </c>
      <c r="B266" s="9" t="s">
        <v>268</v>
      </c>
      <c r="C266" s="10" t="s">
        <v>30</v>
      </c>
      <c r="D266" s="10">
        <v>3</v>
      </c>
      <c r="E266" s="11">
        <v>17.209773676000001</v>
      </c>
      <c r="F266" s="10">
        <v>612</v>
      </c>
      <c r="G266" s="11">
        <v>0.38687088155862448</v>
      </c>
      <c r="H266" s="12">
        <v>0</v>
      </c>
      <c r="I266" s="10">
        <v>0</v>
      </c>
      <c r="J266" s="13">
        <v>0</v>
      </c>
      <c r="K266" s="14">
        <v>2820</v>
      </c>
      <c r="L266" s="14">
        <v>2970</v>
      </c>
      <c r="M266" s="14">
        <v>478</v>
      </c>
      <c r="N266" s="15">
        <v>53.136800000000001</v>
      </c>
      <c r="O266" s="11">
        <f t="shared" si="4"/>
        <v>53.070565032143449</v>
      </c>
      <c r="P266" s="10">
        <v>41</v>
      </c>
      <c r="Q266" s="16">
        <v>11842</v>
      </c>
      <c r="R266" s="11">
        <v>7173421.3600000022</v>
      </c>
      <c r="S266" s="17">
        <v>66.68255481410867</v>
      </c>
      <c r="T266" s="10">
        <v>1</v>
      </c>
      <c r="U266" s="12">
        <v>0.31365826119683854</v>
      </c>
      <c r="V266" s="14">
        <v>235</v>
      </c>
      <c r="W266" s="11">
        <v>3165.3387000000021</v>
      </c>
      <c r="X266" s="18">
        <v>168</v>
      </c>
    </row>
    <row r="267" spans="1:24" ht="15" customHeight="1" x14ac:dyDescent="0.3">
      <c r="A267" s="9">
        <v>35037</v>
      </c>
      <c r="B267" s="9" t="s">
        <v>269</v>
      </c>
      <c r="C267" s="10" t="s">
        <v>7</v>
      </c>
      <c r="D267" s="10">
        <v>1</v>
      </c>
      <c r="E267" s="11">
        <v>136.92710216</v>
      </c>
      <c r="F267" s="10">
        <v>609</v>
      </c>
      <c r="G267" s="11">
        <v>0.80157665300335024</v>
      </c>
      <c r="H267" s="12">
        <v>0</v>
      </c>
      <c r="I267" s="10">
        <v>0</v>
      </c>
      <c r="J267" s="10">
        <v>1</v>
      </c>
      <c r="K267" s="14">
        <v>8202</v>
      </c>
      <c r="L267" s="14">
        <v>7773</v>
      </c>
      <c r="M267" s="14">
        <v>1243</v>
      </c>
      <c r="N267" s="15">
        <v>22.7179</v>
      </c>
      <c r="O267" s="11">
        <f t="shared" si="4"/>
        <v>361.03689161410165</v>
      </c>
      <c r="P267" s="10">
        <v>0</v>
      </c>
      <c r="Q267" s="16">
        <v>16559</v>
      </c>
      <c r="R267" s="11">
        <v>7660835.0400000056</v>
      </c>
      <c r="S267" s="17">
        <v>74.748621472591637</v>
      </c>
      <c r="T267" s="10">
        <v>0</v>
      </c>
      <c r="U267" s="12">
        <v>0</v>
      </c>
      <c r="V267" s="14">
        <v>595</v>
      </c>
      <c r="W267" s="11">
        <v>1737.1524999999997</v>
      </c>
      <c r="X267" s="18">
        <v>165</v>
      </c>
    </row>
    <row r="268" spans="1:24" ht="15" customHeight="1" x14ac:dyDescent="0.3">
      <c r="A268" s="9">
        <v>40041</v>
      </c>
      <c r="B268" s="9" t="s">
        <v>270</v>
      </c>
      <c r="C268" s="10" t="s">
        <v>21</v>
      </c>
      <c r="D268" s="10">
        <v>0</v>
      </c>
      <c r="E268" s="11">
        <v>68.021854384999997</v>
      </c>
      <c r="F268" s="10">
        <v>620</v>
      </c>
      <c r="G268" s="11">
        <v>0.7674634477661878</v>
      </c>
      <c r="H268" s="12">
        <v>0</v>
      </c>
      <c r="I268" s="10">
        <v>0</v>
      </c>
      <c r="J268" s="13">
        <v>0</v>
      </c>
      <c r="K268" s="14">
        <v>12186</v>
      </c>
      <c r="L268" s="14">
        <v>11090</v>
      </c>
      <c r="M268" s="14">
        <v>1822</v>
      </c>
      <c r="N268" s="15">
        <v>17.287600000000001</v>
      </c>
      <c r="O268" s="11">
        <f t="shared" si="4"/>
        <v>704.89830861426685</v>
      </c>
      <c r="P268" s="10">
        <v>0</v>
      </c>
      <c r="Q268" s="16">
        <v>13829</v>
      </c>
      <c r="R268" s="11">
        <v>10833993.949999996</v>
      </c>
      <c r="S268" s="17">
        <v>69.317413831944137</v>
      </c>
      <c r="T268" s="10">
        <v>0</v>
      </c>
      <c r="U268" s="12">
        <v>1.2139965297860034E-2</v>
      </c>
      <c r="V268" s="14">
        <v>1072</v>
      </c>
      <c r="W268" s="11">
        <v>1061.4199999999998</v>
      </c>
      <c r="X268" s="18">
        <v>196</v>
      </c>
    </row>
    <row r="269" spans="1:24" ht="15" customHeight="1" x14ac:dyDescent="0.3">
      <c r="A269" s="9">
        <v>37055</v>
      </c>
      <c r="B269" s="9" t="s">
        <v>271</v>
      </c>
      <c r="C269" s="10" t="s">
        <v>13</v>
      </c>
      <c r="D269" s="10">
        <v>1</v>
      </c>
      <c r="E269" s="11">
        <v>48.145773493</v>
      </c>
      <c r="F269" s="10">
        <v>601</v>
      </c>
      <c r="G269" s="11">
        <v>0.73558917461791207</v>
      </c>
      <c r="H269" s="12">
        <v>0</v>
      </c>
      <c r="I269" s="10">
        <v>1</v>
      </c>
      <c r="J269" s="13">
        <v>0</v>
      </c>
      <c r="K269" s="14">
        <v>12834</v>
      </c>
      <c r="L269" s="14">
        <v>11736</v>
      </c>
      <c r="M269" s="14">
        <v>2100</v>
      </c>
      <c r="N269" s="15">
        <v>65.857100000000003</v>
      </c>
      <c r="O269" s="11">
        <f t="shared" si="4"/>
        <v>194.87648256604072</v>
      </c>
      <c r="P269" s="10">
        <v>14.000000000000002</v>
      </c>
      <c r="Q269" s="16">
        <v>16340</v>
      </c>
      <c r="R269" s="11">
        <v>13761143.800000004</v>
      </c>
      <c r="S269" s="17">
        <v>71.186984908487645</v>
      </c>
      <c r="T269" s="10">
        <v>0</v>
      </c>
      <c r="U269" s="12">
        <v>1.1791679319769207E-2</v>
      </c>
      <c r="V269" s="14">
        <v>785</v>
      </c>
      <c r="W269" s="11">
        <v>5554.4332000000022</v>
      </c>
      <c r="X269" s="18">
        <v>320</v>
      </c>
    </row>
    <row r="270" spans="1:24" ht="15" customHeight="1" x14ac:dyDescent="0.3">
      <c r="A270" s="9">
        <v>33041</v>
      </c>
      <c r="B270" s="9" t="s">
        <v>272</v>
      </c>
      <c r="C270" s="10" t="s">
        <v>3</v>
      </c>
      <c r="D270" s="10">
        <v>0</v>
      </c>
      <c r="E270" s="11">
        <v>23.928575600000002</v>
      </c>
      <c r="F270" s="10">
        <v>692</v>
      </c>
      <c r="G270" s="11">
        <v>0.86326898183231116</v>
      </c>
      <c r="H270" s="12">
        <v>0</v>
      </c>
      <c r="I270" s="10">
        <v>0</v>
      </c>
      <c r="J270" s="13">
        <v>0</v>
      </c>
      <c r="K270" s="14">
        <v>769</v>
      </c>
      <c r="L270" s="14">
        <v>926</v>
      </c>
      <c r="M270" s="14">
        <v>152</v>
      </c>
      <c r="N270" s="15">
        <v>27.346</v>
      </c>
      <c r="O270" s="11">
        <f t="shared" si="4"/>
        <v>28.121114605426754</v>
      </c>
      <c r="P270" s="10">
        <v>64</v>
      </c>
      <c r="Q270" s="16">
        <v>13711</v>
      </c>
      <c r="R270" s="11">
        <v>724139.35999999987</v>
      </c>
      <c r="S270" s="17">
        <v>68.933539412673881</v>
      </c>
      <c r="T270" s="10">
        <v>1</v>
      </c>
      <c r="U270" s="12">
        <v>8.8519195612431437E-3</v>
      </c>
      <c r="V270" s="14">
        <v>48</v>
      </c>
      <c r="W270" s="11">
        <v>2538.984899999999</v>
      </c>
      <c r="X270" s="18">
        <v>64</v>
      </c>
    </row>
    <row r="271" spans="1:24" ht="15" customHeight="1" x14ac:dyDescent="0.3">
      <c r="A271" s="9">
        <v>35038</v>
      </c>
      <c r="B271" s="9" t="s">
        <v>273</v>
      </c>
      <c r="C271" s="10" t="s">
        <v>7</v>
      </c>
      <c r="D271" s="10">
        <v>0</v>
      </c>
      <c r="E271" s="11">
        <v>30.958591717000001</v>
      </c>
      <c r="F271" s="10">
        <v>654</v>
      </c>
      <c r="G271" s="11">
        <v>0.92611248702273197</v>
      </c>
      <c r="H271" s="12">
        <v>0</v>
      </c>
      <c r="I271" s="10">
        <v>0</v>
      </c>
      <c r="J271" s="13">
        <v>0</v>
      </c>
      <c r="K271" s="14">
        <v>6138</v>
      </c>
      <c r="L271" s="14">
        <v>5949</v>
      </c>
      <c r="M271" s="14">
        <v>1047</v>
      </c>
      <c r="N271" s="15">
        <v>32.293700000000001</v>
      </c>
      <c r="O271" s="11">
        <f t="shared" si="4"/>
        <v>190.06803184522059</v>
      </c>
      <c r="P271" s="10">
        <v>15</v>
      </c>
      <c r="Q271" s="16">
        <v>15763</v>
      </c>
      <c r="R271" s="11">
        <v>6900994.5299999984</v>
      </c>
      <c r="S271" s="17">
        <v>70.762254372705684</v>
      </c>
      <c r="T271" s="10">
        <v>0</v>
      </c>
      <c r="U271" s="12">
        <v>0.27171879838959428</v>
      </c>
      <c r="V271" s="14">
        <v>533</v>
      </c>
      <c r="W271" s="11">
        <v>1630.7303999999983</v>
      </c>
      <c r="X271" s="18">
        <v>120</v>
      </c>
    </row>
    <row r="272" spans="1:24" ht="15" customHeight="1" x14ac:dyDescent="0.3">
      <c r="A272" s="9">
        <v>36038</v>
      </c>
      <c r="B272" s="9" t="s">
        <v>274</v>
      </c>
      <c r="C272" s="10" t="s">
        <v>27</v>
      </c>
      <c r="D272" s="10">
        <v>1</v>
      </c>
      <c r="E272" s="11">
        <v>33.218589473999998</v>
      </c>
      <c r="F272" s="10">
        <v>638</v>
      </c>
      <c r="G272" s="11">
        <v>0.93239997881506831</v>
      </c>
      <c r="H272" s="12">
        <v>0</v>
      </c>
      <c r="I272" s="10">
        <v>0</v>
      </c>
      <c r="J272" s="13">
        <v>0</v>
      </c>
      <c r="K272" s="14">
        <v>3483</v>
      </c>
      <c r="L272" s="14">
        <v>3621</v>
      </c>
      <c r="M272" s="14">
        <v>643</v>
      </c>
      <c r="N272" s="15">
        <v>17.058499999999999</v>
      </c>
      <c r="O272" s="11">
        <f t="shared" si="4"/>
        <v>204.17973444323945</v>
      </c>
      <c r="P272" s="10">
        <v>15</v>
      </c>
      <c r="Q272" s="16">
        <v>14201</v>
      </c>
      <c r="R272" s="11">
        <v>4085051.7800000007</v>
      </c>
      <c r="S272" s="17">
        <v>72.592592592592595</v>
      </c>
      <c r="T272" s="10">
        <v>1</v>
      </c>
      <c r="U272" s="12">
        <v>3.1606096131301289E-2</v>
      </c>
      <c r="V272" s="14">
        <v>282</v>
      </c>
      <c r="W272" s="11">
        <v>1273.4815000000006</v>
      </c>
      <c r="X272" s="18">
        <v>131</v>
      </c>
    </row>
    <row r="273" spans="1:24" ht="15" customHeight="1" x14ac:dyDescent="0.3">
      <c r="A273" s="9">
        <v>36039</v>
      </c>
      <c r="B273" s="9" t="s">
        <v>275</v>
      </c>
      <c r="C273" s="10" t="s">
        <v>27</v>
      </c>
      <c r="D273" s="10">
        <v>1</v>
      </c>
      <c r="E273" s="11">
        <v>39.059731079999999</v>
      </c>
      <c r="F273" s="10">
        <v>678</v>
      </c>
      <c r="G273" s="11">
        <v>0.93765581166823486</v>
      </c>
      <c r="H273" s="12">
        <v>0</v>
      </c>
      <c r="I273" s="10">
        <v>0</v>
      </c>
      <c r="J273" s="13">
        <v>0</v>
      </c>
      <c r="K273" s="14">
        <v>6072</v>
      </c>
      <c r="L273" s="14">
        <v>5841</v>
      </c>
      <c r="M273" s="14">
        <v>815</v>
      </c>
      <c r="N273" s="15">
        <v>34.557499999999997</v>
      </c>
      <c r="O273" s="11">
        <f t="shared" si="4"/>
        <v>175.70715474209652</v>
      </c>
      <c r="P273" s="10">
        <v>0</v>
      </c>
      <c r="Q273" s="16">
        <v>15205</v>
      </c>
      <c r="R273" s="11">
        <v>7250836.2099999981</v>
      </c>
      <c r="S273" s="17">
        <v>69.873708381171056</v>
      </c>
      <c r="T273" s="10">
        <v>0</v>
      </c>
      <c r="U273" s="12">
        <v>4.0610532407407404E-2</v>
      </c>
      <c r="V273" s="14">
        <v>419</v>
      </c>
      <c r="W273" s="11">
        <v>2875.2418000000007</v>
      </c>
      <c r="X273" s="18">
        <v>180</v>
      </c>
    </row>
    <row r="274" spans="1:24" ht="15" customHeight="1" x14ac:dyDescent="0.3">
      <c r="A274" s="9">
        <v>34033</v>
      </c>
      <c r="B274" s="9" t="s">
        <v>276</v>
      </c>
      <c r="C274" s="10" t="s">
        <v>5</v>
      </c>
      <c r="D274" s="10">
        <v>0</v>
      </c>
      <c r="E274" s="11">
        <v>38.424534289999997</v>
      </c>
      <c r="F274" s="10">
        <v>614</v>
      </c>
      <c r="G274" s="11">
        <v>0.90878705485864475</v>
      </c>
      <c r="H274" s="12">
        <v>0</v>
      </c>
      <c r="I274" s="10">
        <v>0</v>
      </c>
      <c r="J274" s="13">
        <v>0</v>
      </c>
      <c r="K274" s="14">
        <v>5823</v>
      </c>
      <c r="L274" s="14">
        <v>5519</v>
      </c>
      <c r="M274" s="14">
        <v>983</v>
      </c>
      <c r="N274" s="15">
        <v>37.71</v>
      </c>
      <c r="O274" s="11">
        <f t="shared" si="4"/>
        <v>154.41527446300717</v>
      </c>
      <c r="P274" s="10">
        <v>0</v>
      </c>
      <c r="Q274" s="16">
        <v>15603</v>
      </c>
      <c r="R274" s="11">
        <v>5628312.8999999957</v>
      </c>
      <c r="S274" s="17">
        <v>71.835294117647067</v>
      </c>
      <c r="T274" s="10">
        <v>0</v>
      </c>
      <c r="U274" s="12">
        <v>2.1272871917263327E-2</v>
      </c>
      <c r="V274" s="14">
        <v>443</v>
      </c>
      <c r="W274" s="11">
        <v>3139.7694000000006</v>
      </c>
      <c r="X274" s="18">
        <v>160</v>
      </c>
    </row>
    <row r="275" spans="1:24" ht="15" customHeight="1" x14ac:dyDescent="0.3">
      <c r="A275" s="9">
        <v>40043</v>
      </c>
      <c r="B275" s="9" t="s">
        <v>277</v>
      </c>
      <c r="C275" s="10" t="s">
        <v>21</v>
      </c>
      <c r="D275" s="10">
        <v>8</v>
      </c>
      <c r="E275" s="11">
        <v>-27.503500060000004</v>
      </c>
      <c r="F275" s="10">
        <v>638</v>
      </c>
      <c r="G275" s="11">
        <v>0.48791128647410142</v>
      </c>
      <c r="H275" s="12">
        <v>0.377</v>
      </c>
      <c r="I275" s="10">
        <v>0</v>
      </c>
      <c r="J275" s="13">
        <v>0</v>
      </c>
      <c r="K275" s="14">
        <v>4030</v>
      </c>
      <c r="L275" s="14">
        <v>4193</v>
      </c>
      <c r="M275" s="14">
        <v>830</v>
      </c>
      <c r="N275" s="15">
        <v>148.87</v>
      </c>
      <c r="O275" s="11">
        <f t="shared" si="4"/>
        <v>27.070598508766036</v>
      </c>
      <c r="P275" s="10">
        <v>41</v>
      </c>
      <c r="Q275" s="16">
        <v>14688</v>
      </c>
      <c r="R275" s="11">
        <v>6017123.4300000006</v>
      </c>
      <c r="S275" s="17">
        <v>75.650433622414951</v>
      </c>
      <c r="T275" s="10">
        <v>1</v>
      </c>
      <c r="U275" s="12">
        <v>0.7703922885739235</v>
      </c>
      <c r="V275" s="14">
        <v>275</v>
      </c>
      <c r="W275" s="11">
        <v>5451.8037999999997</v>
      </c>
      <c r="X275" s="18">
        <v>130</v>
      </c>
    </row>
    <row r="276" spans="1:24" ht="15" customHeight="1" x14ac:dyDescent="0.3">
      <c r="A276" s="9">
        <v>37056</v>
      </c>
      <c r="B276" s="9" t="s">
        <v>278</v>
      </c>
      <c r="C276" s="10" t="s">
        <v>13</v>
      </c>
      <c r="D276" s="10">
        <v>0</v>
      </c>
      <c r="E276" s="11">
        <v>72.664204307999995</v>
      </c>
      <c r="F276" s="10">
        <v>620</v>
      </c>
      <c r="G276" s="11">
        <v>0.86923039937741442</v>
      </c>
      <c r="H276" s="12">
        <v>0</v>
      </c>
      <c r="I276" s="10">
        <v>0</v>
      </c>
      <c r="J276" s="10">
        <v>1</v>
      </c>
      <c r="K276" s="14">
        <v>7285</v>
      </c>
      <c r="L276" s="14">
        <v>7140</v>
      </c>
      <c r="M276" s="14">
        <v>1110</v>
      </c>
      <c r="N276" s="15">
        <v>34.792200000000001</v>
      </c>
      <c r="O276" s="11">
        <f t="shared" si="4"/>
        <v>209.38601180724416</v>
      </c>
      <c r="P276" s="10">
        <v>2</v>
      </c>
      <c r="Q276" s="16">
        <v>16148</v>
      </c>
      <c r="R276" s="11">
        <v>9472520.5100000016</v>
      </c>
      <c r="S276" s="17">
        <v>72.337732778882653</v>
      </c>
      <c r="T276" s="10">
        <v>0</v>
      </c>
      <c r="U276" s="12">
        <v>5.5993101465938487E-3</v>
      </c>
      <c r="V276" s="14">
        <v>492</v>
      </c>
      <c r="W276" s="11">
        <v>2737.2476000000006</v>
      </c>
      <c r="X276" s="18">
        <v>145</v>
      </c>
    </row>
    <row r="277" spans="1:24" ht="15" customHeight="1" x14ac:dyDescent="0.3">
      <c r="A277" s="9">
        <v>99026</v>
      </c>
      <c r="B277" s="9" t="s">
        <v>279</v>
      </c>
      <c r="C277" s="10" t="s">
        <v>30</v>
      </c>
      <c r="D277" s="10">
        <v>1</v>
      </c>
      <c r="E277" s="11">
        <v>-16.72950595</v>
      </c>
      <c r="F277" s="10">
        <v>662</v>
      </c>
      <c r="G277" s="11">
        <v>0.53290378890211865</v>
      </c>
      <c r="H277" s="12">
        <v>0</v>
      </c>
      <c r="I277" s="10">
        <v>0</v>
      </c>
      <c r="J277" s="13">
        <v>0</v>
      </c>
      <c r="K277" s="14">
        <v>1949</v>
      </c>
      <c r="L277" s="14">
        <v>2280</v>
      </c>
      <c r="M277" s="14">
        <v>442</v>
      </c>
      <c r="N277" s="15">
        <v>79.743499999999997</v>
      </c>
      <c r="O277" s="11">
        <f t="shared" si="4"/>
        <v>24.440863518656695</v>
      </c>
      <c r="P277" s="10">
        <v>31</v>
      </c>
      <c r="Q277" s="16">
        <v>13656</v>
      </c>
      <c r="R277" s="11">
        <v>3079742.2800000017</v>
      </c>
      <c r="S277" s="17">
        <v>69.027611044417768</v>
      </c>
      <c r="T277" s="10">
        <v>1</v>
      </c>
      <c r="U277" s="12">
        <v>0.53711938801103587</v>
      </c>
      <c r="V277" s="14">
        <v>152</v>
      </c>
      <c r="W277" s="11">
        <v>4535.8598999999995</v>
      </c>
      <c r="X277" s="18">
        <v>128</v>
      </c>
    </row>
    <row r="278" spans="1:24" ht="15" customHeight="1" x14ac:dyDescent="0.3">
      <c r="A278" s="9">
        <v>39017</v>
      </c>
      <c r="B278" s="9" t="s">
        <v>280</v>
      </c>
      <c r="C278" s="10" t="s">
        <v>9</v>
      </c>
      <c r="D278" s="10">
        <v>0</v>
      </c>
      <c r="E278" s="11">
        <v>9.8766916449999993</v>
      </c>
      <c r="F278" s="10">
        <v>664</v>
      </c>
      <c r="G278" s="11">
        <v>0.81573480610032223</v>
      </c>
      <c r="H278" s="12">
        <v>0</v>
      </c>
      <c r="I278" s="10">
        <v>1</v>
      </c>
      <c r="J278" s="13">
        <v>0</v>
      </c>
      <c r="K278" s="14">
        <v>2893</v>
      </c>
      <c r="L278" s="14">
        <v>2822</v>
      </c>
      <c r="M278" s="14">
        <v>492</v>
      </c>
      <c r="N278" s="15">
        <v>9.3707999999999991</v>
      </c>
      <c r="O278" s="11">
        <f t="shared" si="4"/>
        <v>308.72497545567086</v>
      </c>
      <c r="P278" s="10">
        <v>0</v>
      </c>
      <c r="Q278" s="16">
        <v>16112</v>
      </c>
      <c r="R278" s="11">
        <v>3583475.5300000012</v>
      </c>
      <c r="S278" s="17">
        <v>72.520852641334571</v>
      </c>
      <c r="T278" s="10">
        <v>1</v>
      </c>
      <c r="U278" s="12">
        <v>0</v>
      </c>
      <c r="V278" s="14">
        <v>238</v>
      </c>
      <c r="W278" s="11">
        <v>681.92170000000021</v>
      </c>
      <c r="X278" s="18">
        <v>77</v>
      </c>
    </row>
    <row r="279" spans="1:24" ht="15" customHeight="1" x14ac:dyDescent="0.3">
      <c r="A279" s="9">
        <v>99018</v>
      </c>
      <c r="B279" s="9" t="s">
        <v>281</v>
      </c>
      <c r="C279" s="10" t="s">
        <v>30</v>
      </c>
      <c r="D279" s="10">
        <v>3</v>
      </c>
      <c r="E279" s="11">
        <v>101.05950062700001</v>
      </c>
      <c r="F279" s="10">
        <v>643</v>
      </c>
      <c r="G279" s="11">
        <v>0.68882414881507525</v>
      </c>
      <c r="H279" s="12">
        <v>0</v>
      </c>
      <c r="I279" s="10">
        <v>1</v>
      </c>
      <c r="J279" s="13">
        <v>0</v>
      </c>
      <c r="K279" s="14">
        <v>22148</v>
      </c>
      <c r="L279" s="14">
        <v>20839</v>
      </c>
      <c r="M279" s="14">
        <v>3878</v>
      </c>
      <c r="N279" s="15">
        <v>45.009300000000003</v>
      </c>
      <c r="O279" s="11">
        <f t="shared" si="4"/>
        <v>492.07608205415323</v>
      </c>
      <c r="P279" s="10">
        <v>1</v>
      </c>
      <c r="Q279" s="16">
        <v>14190</v>
      </c>
      <c r="R279" s="11">
        <v>23527697.640000012</v>
      </c>
      <c r="S279" s="17">
        <v>72.093969878467178</v>
      </c>
      <c r="T279" s="10">
        <v>0</v>
      </c>
      <c r="U279" s="12">
        <v>4.8027105087758273E-2</v>
      </c>
      <c r="V279" s="14">
        <v>2223</v>
      </c>
      <c r="W279" s="11">
        <v>2271.8619000000017</v>
      </c>
      <c r="X279" s="18">
        <v>517</v>
      </c>
    </row>
    <row r="280" spans="1:24" ht="15" customHeight="1" x14ac:dyDescent="0.3">
      <c r="A280" s="9">
        <v>35039</v>
      </c>
      <c r="B280" s="9" t="s">
        <v>282</v>
      </c>
      <c r="C280" s="10" t="s">
        <v>7</v>
      </c>
      <c r="D280" s="10">
        <v>0</v>
      </c>
      <c r="E280" s="11">
        <v>55.048417889</v>
      </c>
      <c r="F280" s="10">
        <v>612</v>
      </c>
      <c r="G280" s="11">
        <v>0.87861350687385564</v>
      </c>
      <c r="H280" s="12">
        <v>0</v>
      </c>
      <c r="I280" s="10">
        <v>1</v>
      </c>
      <c r="J280" s="13">
        <v>0</v>
      </c>
      <c r="K280" s="14">
        <v>11258</v>
      </c>
      <c r="L280" s="14">
        <v>10939</v>
      </c>
      <c r="M280" s="14">
        <v>1902</v>
      </c>
      <c r="N280" s="15">
        <v>20.233499999999999</v>
      </c>
      <c r="O280" s="11">
        <f t="shared" si="4"/>
        <v>556.40398349272243</v>
      </c>
      <c r="P280" s="10">
        <v>0</v>
      </c>
      <c r="Q280" s="16">
        <v>15943</v>
      </c>
      <c r="R280" s="11">
        <v>12295638.190000001</v>
      </c>
      <c r="S280" s="17">
        <v>72.664818609135835</v>
      </c>
      <c r="T280" s="10">
        <v>0</v>
      </c>
      <c r="U280" s="12">
        <v>3.5926841324765202E-2</v>
      </c>
      <c r="V280" s="14">
        <v>851</v>
      </c>
      <c r="W280" s="11">
        <v>1294.0208000000002</v>
      </c>
      <c r="X280" s="18">
        <v>55</v>
      </c>
    </row>
    <row r="281" spans="1:24" ht="15" customHeight="1" x14ac:dyDescent="0.3">
      <c r="A281" s="9">
        <v>33042</v>
      </c>
      <c r="B281" s="9" t="s">
        <v>283</v>
      </c>
      <c r="C281" s="10" t="s">
        <v>3</v>
      </c>
      <c r="D281" s="10">
        <v>1</v>
      </c>
      <c r="E281" s="11">
        <v>36.00928266999999</v>
      </c>
      <c r="F281" s="10">
        <v>658</v>
      </c>
      <c r="G281" s="11">
        <v>0.79173821524467547</v>
      </c>
      <c r="H281" s="12">
        <v>0</v>
      </c>
      <c r="I281" s="10">
        <v>1</v>
      </c>
      <c r="J281" s="10">
        <v>1</v>
      </c>
      <c r="K281" s="14">
        <v>2896</v>
      </c>
      <c r="L281" s="14">
        <v>2919</v>
      </c>
      <c r="M281" s="14">
        <v>486</v>
      </c>
      <c r="N281" s="15">
        <v>27.2576</v>
      </c>
      <c r="O281" s="11">
        <f t="shared" si="4"/>
        <v>106.24559755811224</v>
      </c>
      <c r="P281" s="10">
        <v>0</v>
      </c>
      <c r="Q281" s="16">
        <v>15476</v>
      </c>
      <c r="R281" s="11">
        <v>2569959.4600000004</v>
      </c>
      <c r="S281" s="17">
        <v>66.569343065693431</v>
      </c>
      <c r="T281" s="10">
        <v>1</v>
      </c>
      <c r="U281" s="12">
        <v>8.5942773294203953E-2</v>
      </c>
      <c r="V281" s="14">
        <v>206</v>
      </c>
      <c r="W281" s="11">
        <v>1982.0088000000007</v>
      </c>
      <c r="X281" s="18">
        <v>34</v>
      </c>
    </row>
    <row r="282" spans="1:24" ht="15" customHeight="1" x14ac:dyDescent="0.3">
      <c r="A282" s="9">
        <v>40044</v>
      </c>
      <c r="B282" s="9" t="s">
        <v>284</v>
      </c>
      <c r="C282" s="10" t="s">
        <v>21</v>
      </c>
      <c r="D282" s="10">
        <v>2</v>
      </c>
      <c r="E282" s="11">
        <v>-9.4435479200000003</v>
      </c>
      <c r="F282" s="10">
        <v>641</v>
      </c>
      <c r="G282" s="11">
        <v>0.87008120495912333</v>
      </c>
      <c r="H282" s="12">
        <v>0</v>
      </c>
      <c r="I282" s="10">
        <v>0</v>
      </c>
      <c r="J282" s="13">
        <v>0</v>
      </c>
      <c r="K282" s="14">
        <v>3308</v>
      </c>
      <c r="L282" s="14">
        <v>3602</v>
      </c>
      <c r="M282" s="14">
        <v>729</v>
      </c>
      <c r="N282" s="15">
        <v>100.71980000000001</v>
      </c>
      <c r="O282" s="11">
        <f t="shared" si="4"/>
        <v>32.843591826036189</v>
      </c>
      <c r="P282" s="10">
        <v>33</v>
      </c>
      <c r="Q282" s="16">
        <v>14155</v>
      </c>
      <c r="R282" s="11">
        <v>6988022.9600000018</v>
      </c>
      <c r="S282" s="17">
        <v>68.363083934675274</v>
      </c>
      <c r="T282" s="10">
        <v>1</v>
      </c>
      <c r="U282" s="12">
        <v>0.70400714853057988</v>
      </c>
      <c r="V282" s="14">
        <v>268</v>
      </c>
      <c r="W282" s="11">
        <v>5296.1288999999988</v>
      </c>
      <c r="X282" s="18">
        <v>206</v>
      </c>
    </row>
    <row r="283" spans="1:24" ht="15" customHeight="1" x14ac:dyDescent="0.3">
      <c r="A283" s="9">
        <v>37057</v>
      </c>
      <c r="B283" s="9" t="s">
        <v>285</v>
      </c>
      <c r="C283" s="10" t="s">
        <v>13</v>
      </c>
      <c r="D283" s="10">
        <v>10</v>
      </c>
      <c r="E283" s="11">
        <v>211.72697143600001</v>
      </c>
      <c r="F283" s="10">
        <v>655</v>
      </c>
      <c r="G283" s="11">
        <v>0.74439634939394672</v>
      </c>
      <c r="H283" s="12">
        <v>5.1699999999999996E-2</v>
      </c>
      <c r="I283" s="10">
        <v>3</v>
      </c>
      <c r="J283" s="10">
        <v>1</v>
      </c>
      <c r="K283" s="14">
        <v>14747</v>
      </c>
      <c r="L283" s="14">
        <v>14545</v>
      </c>
      <c r="M283" s="14">
        <v>3129</v>
      </c>
      <c r="N283" s="15">
        <v>96.45</v>
      </c>
      <c r="O283" s="11">
        <f t="shared" si="4"/>
        <v>152.89787454639711</v>
      </c>
      <c r="P283" s="10">
        <v>4</v>
      </c>
      <c r="Q283" s="16">
        <v>20145</v>
      </c>
      <c r="R283" s="11">
        <v>17343741.239999991</v>
      </c>
      <c r="S283" s="17">
        <v>77.084930573302671</v>
      </c>
      <c r="T283" s="10">
        <v>0</v>
      </c>
      <c r="U283" s="12">
        <v>0.55581855883877651</v>
      </c>
      <c r="V283" s="14">
        <v>1284</v>
      </c>
      <c r="W283" s="11">
        <v>3641.4198000000006</v>
      </c>
      <c r="X283" s="18">
        <v>209</v>
      </c>
    </row>
    <row r="284" spans="1:24" ht="15" customHeight="1" x14ac:dyDescent="0.3">
      <c r="A284" s="9">
        <v>36040</v>
      </c>
      <c r="B284" s="9" t="s">
        <v>286</v>
      </c>
      <c r="C284" s="10" t="s">
        <v>27</v>
      </c>
      <c r="D284" s="10">
        <v>1</v>
      </c>
      <c r="E284" s="11">
        <v>664.28083534099994</v>
      </c>
      <c r="F284" s="10">
        <v>694</v>
      </c>
      <c r="G284" s="11">
        <v>0.64592371715592223</v>
      </c>
      <c r="H284" s="12">
        <v>1E-4</v>
      </c>
      <c r="I284" s="10">
        <v>0</v>
      </c>
      <c r="J284" s="10">
        <v>1</v>
      </c>
      <c r="K284" s="14">
        <v>40736</v>
      </c>
      <c r="L284" s="14">
        <v>39885</v>
      </c>
      <c r="M284" s="14">
        <v>6981</v>
      </c>
      <c r="N284" s="15">
        <v>38.403700000000001</v>
      </c>
      <c r="O284" s="11">
        <f t="shared" si="4"/>
        <v>1060.7311274694887</v>
      </c>
      <c r="P284" s="10">
        <v>11</v>
      </c>
      <c r="Q284" s="16">
        <v>17494</v>
      </c>
      <c r="R284" s="11">
        <v>50284972.670000017</v>
      </c>
      <c r="S284" s="17">
        <v>70.971528220262243</v>
      </c>
      <c r="T284" s="10">
        <v>0</v>
      </c>
      <c r="U284" s="12">
        <v>0.16016406250000001</v>
      </c>
      <c r="V284" s="14">
        <v>4488</v>
      </c>
      <c r="W284" s="11">
        <v>1291.5323999999998</v>
      </c>
      <c r="X284" s="18">
        <v>126</v>
      </c>
    </row>
    <row r="285" spans="1:24" ht="15" customHeight="1" x14ac:dyDescent="0.3">
      <c r="A285" s="9">
        <v>36041</v>
      </c>
      <c r="B285" s="9" t="s">
        <v>287</v>
      </c>
      <c r="C285" s="10" t="s">
        <v>27</v>
      </c>
      <c r="D285" s="10">
        <v>3</v>
      </c>
      <c r="E285" s="11">
        <v>145.97778473</v>
      </c>
      <c r="F285" s="10">
        <v>649</v>
      </c>
      <c r="G285" s="11">
        <v>0.56815173144320286</v>
      </c>
      <c r="H285" s="12">
        <v>0</v>
      </c>
      <c r="I285" s="10">
        <v>0</v>
      </c>
      <c r="J285" s="13">
        <v>0</v>
      </c>
      <c r="K285" s="14">
        <v>9563</v>
      </c>
      <c r="L285" s="14">
        <v>9276</v>
      </c>
      <c r="M285" s="14">
        <v>1682</v>
      </c>
      <c r="N285" s="15">
        <v>25.554400000000001</v>
      </c>
      <c r="O285" s="11">
        <f t="shared" si="4"/>
        <v>374.22126913564784</v>
      </c>
      <c r="P285" s="10">
        <v>28.000000000000004</v>
      </c>
      <c r="Q285" s="16">
        <v>15926</v>
      </c>
      <c r="R285" s="11">
        <v>7576689.7800000012</v>
      </c>
      <c r="S285" s="17">
        <v>72.894736842105274</v>
      </c>
      <c r="T285" s="10">
        <v>0</v>
      </c>
      <c r="U285" s="12">
        <v>0.11268884540117416</v>
      </c>
      <c r="V285" s="14">
        <v>678</v>
      </c>
      <c r="W285" s="11">
        <v>1334.1705000000002</v>
      </c>
      <c r="X285" s="18">
        <v>196</v>
      </c>
    </row>
    <row r="286" spans="1:24" ht="15" customHeight="1" x14ac:dyDescent="0.3">
      <c r="A286" s="9">
        <v>40045</v>
      </c>
      <c r="B286" s="9" t="s">
        <v>288</v>
      </c>
      <c r="C286" s="10" t="s">
        <v>21</v>
      </c>
      <c r="D286" s="10">
        <v>4</v>
      </c>
      <c r="E286" s="11">
        <v>59.484588922</v>
      </c>
      <c r="F286" s="10">
        <v>638</v>
      </c>
      <c r="G286" s="11">
        <v>0.74101326326352146</v>
      </c>
      <c r="H286" s="12">
        <v>0</v>
      </c>
      <c r="I286" s="10">
        <v>1</v>
      </c>
      <c r="J286" s="13">
        <v>0</v>
      </c>
      <c r="K286" s="14">
        <v>17842</v>
      </c>
      <c r="L286" s="14">
        <v>17521</v>
      </c>
      <c r="M286" s="14">
        <v>2888</v>
      </c>
      <c r="N286" s="15">
        <v>23.303100000000001</v>
      </c>
      <c r="O286" s="11">
        <f t="shared" si="4"/>
        <v>765.64920547051679</v>
      </c>
      <c r="P286" s="10">
        <v>0</v>
      </c>
      <c r="Q286" s="16">
        <v>13964</v>
      </c>
      <c r="R286" s="11">
        <v>15166743.199999996</v>
      </c>
      <c r="S286" s="17">
        <v>69.370078740157481</v>
      </c>
      <c r="T286" s="10">
        <v>0</v>
      </c>
      <c r="U286" s="12">
        <v>5.1587982832618021E-2</v>
      </c>
      <c r="V286" s="14">
        <v>1657</v>
      </c>
      <c r="W286" s="11">
        <v>1188.9034999999992</v>
      </c>
      <c r="X286" s="18">
        <v>259</v>
      </c>
    </row>
    <row r="287" spans="1:24" ht="15" customHeight="1" x14ac:dyDescent="0.3">
      <c r="A287" s="9">
        <v>35040</v>
      </c>
      <c r="B287" s="9" t="s">
        <v>289</v>
      </c>
      <c r="C287" s="10" t="s">
        <v>7</v>
      </c>
      <c r="D287" s="10">
        <v>6</v>
      </c>
      <c r="E287" s="11">
        <v>243.82712921000001</v>
      </c>
      <c r="F287" s="10">
        <v>660</v>
      </c>
      <c r="G287" s="11">
        <v>0.8846075612486336</v>
      </c>
      <c r="H287" s="12">
        <v>0</v>
      </c>
      <c r="I287" s="10">
        <v>0</v>
      </c>
      <c r="J287" s="13">
        <v>0</v>
      </c>
      <c r="K287" s="14">
        <v>25686</v>
      </c>
      <c r="L287" s="14">
        <v>24792</v>
      </c>
      <c r="M287" s="14">
        <v>4587</v>
      </c>
      <c r="N287" s="15">
        <v>50.048499999999997</v>
      </c>
      <c r="O287" s="11">
        <f t="shared" si="4"/>
        <v>513.22217449074401</v>
      </c>
      <c r="P287" s="10">
        <v>10</v>
      </c>
      <c r="Q287" s="16">
        <v>16650</v>
      </c>
      <c r="R287" s="11">
        <v>23957253.65000001</v>
      </c>
      <c r="S287" s="17">
        <v>75.38153615211408</v>
      </c>
      <c r="T287" s="10">
        <v>0</v>
      </c>
      <c r="U287" s="12">
        <v>0.11842957042957045</v>
      </c>
      <c r="V287" s="14">
        <v>2229</v>
      </c>
      <c r="W287" s="11">
        <v>2895.7786999999985</v>
      </c>
      <c r="X287" s="18">
        <v>309</v>
      </c>
    </row>
    <row r="288" spans="1:24" ht="15" customHeight="1" x14ac:dyDescent="0.3">
      <c r="A288" s="9">
        <v>36042</v>
      </c>
      <c r="B288" s="9" t="s">
        <v>290</v>
      </c>
      <c r="C288" s="10" t="s">
        <v>27</v>
      </c>
      <c r="D288" s="10">
        <v>8</v>
      </c>
      <c r="E288" s="11">
        <v>85.177598214</v>
      </c>
      <c r="F288" s="10">
        <v>695</v>
      </c>
      <c r="G288" s="11">
        <v>0.44564072585665149</v>
      </c>
      <c r="H288" s="12">
        <v>0</v>
      </c>
      <c r="I288" s="10">
        <v>0</v>
      </c>
      <c r="J288" s="13">
        <v>0</v>
      </c>
      <c r="K288" s="14">
        <v>8645</v>
      </c>
      <c r="L288" s="14">
        <v>8014</v>
      </c>
      <c r="M288" s="14">
        <v>1348</v>
      </c>
      <c r="N288" s="15">
        <v>93.961699999999993</v>
      </c>
      <c r="O288" s="11">
        <f t="shared" si="4"/>
        <v>92.005572483256486</v>
      </c>
      <c r="P288" s="10">
        <v>35</v>
      </c>
      <c r="Q288" s="16">
        <v>15735</v>
      </c>
      <c r="R288" s="11">
        <v>13614916.979999989</v>
      </c>
      <c r="S288" s="17">
        <v>68.112166717744401</v>
      </c>
      <c r="T288" s="10">
        <v>0</v>
      </c>
      <c r="U288" s="12">
        <v>0.35149957428693063</v>
      </c>
      <c r="V288" s="14">
        <v>633</v>
      </c>
      <c r="W288" s="11">
        <v>5163.7138999999979</v>
      </c>
      <c r="X288" s="18">
        <v>315</v>
      </c>
    </row>
    <row r="289" spans="1:24" ht="15" customHeight="1" x14ac:dyDescent="0.3">
      <c r="A289" s="9">
        <v>36043</v>
      </c>
      <c r="B289" s="9" t="s">
        <v>291</v>
      </c>
      <c r="C289" s="10" t="s">
        <v>27</v>
      </c>
      <c r="D289" s="10">
        <v>3</v>
      </c>
      <c r="E289" s="11">
        <v>1.3553950700000001</v>
      </c>
      <c r="F289" s="10">
        <v>738</v>
      </c>
      <c r="G289" s="11">
        <v>0.3897969554211394</v>
      </c>
      <c r="H289" s="12">
        <v>3.4000000000000002E-3</v>
      </c>
      <c r="I289" s="10">
        <v>0</v>
      </c>
      <c r="J289" s="13">
        <v>0</v>
      </c>
      <c r="K289" s="14">
        <v>2410</v>
      </c>
      <c r="L289" s="14">
        <v>2602</v>
      </c>
      <c r="M289" s="14">
        <v>607</v>
      </c>
      <c r="N289" s="15">
        <v>52.471899999999998</v>
      </c>
      <c r="O289" s="11">
        <f t="shared" si="4"/>
        <v>45.929345039916605</v>
      </c>
      <c r="P289" s="10">
        <v>36</v>
      </c>
      <c r="Q289" s="16">
        <v>15589</v>
      </c>
      <c r="R289" s="11">
        <v>7310579.7500000019</v>
      </c>
      <c r="S289" s="17">
        <v>72.194388777555105</v>
      </c>
      <c r="T289" s="10">
        <v>1</v>
      </c>
      <c r="U289" s="12">
        <v>0.57182771107299413</v>
      </c>
      <c r="V289" s="14">
        <v>302</v>
      </c>
      <c r="W289" s="11">
        <v>2352.4989</v>
      </c>
      <c r="X289" s="18">
        <v>141</v>
      </c>
    </row>
    <row r="290" spans="1:24" ht="15" customHeight="1" x14ac:dyDescent="0.3">
      <c r="A290" s="9">
        <v>34049</v>
      </c>
      <c r="B290" s="27" t="s">
        <v>292</v>
      </c>
      <c r="C290" s="10" t="s">
        <v>5</v>
      </c>
      <c r="D290" s="10">
        <v>1</v>
      </c>
      <c r="E290" s="11">
        <v>78.882304669000007</v>
      </c>
      <c r="F290" s="10">
        <v>672</v>
      </c>
      <c r="G290" s="11">
        <v>0.85897556951457088</v>
      </c>
      <c r="H290" s="12">
        <v>0</v>
      </c>
      <c r="I290" s="10">
        <v>0</v>
      </c>
      <c r="J290" s="10">
        <v>2</v>
      </c>
      <c r="K290" s="14">
        <v>7846</v>
      </c>
      <c r="L290" s="14">
        <v>7991</v>
      </c>
      <c r="M290" s="14">
        <v>1314</v>
      </c>
      <c r="N290" s="21">
        <v>72.709999999999994</v>
      </c>
      <c r="O290" s="11">
        <f t="shared" si="4"/>
        <v>107.90812818044286</v>
      </c>
      <c r="P290" s="10">
        <v>8</v>
      </c>
      <c r="Q290" s="16">
        <v>16132</v>
      </c>
      <c r="R290" s="11">
        <v>11154489.160000008</v>
      </c>
      <c r="S290" s="17">
        <v>69.05570652173914</v>
      </c>
      <c r="T290" s="10">
        <v>0</v>
      </c>
      <c r="U290" s="12">
        <v>4.8913641364136409E-2</v>
      </c>
      <c r="V290" s="14">
        <v>545</v>
      </c>
      <c r="W290" s="11">
        <v>5238.4029999999993</v>
      </c>
      <c r="X290" s="10">
        <v>276</v>
      </c>
    </row>
    <row r="291" spans="1:24" ht="15" customHeight="1" x14ac:dyDescent="0.3">
      <c r="A291" s="9">
        <v>40046</v>
      </c>
      <c r="B291" s="9" t="s">
        <v>293</v>
      </c>
      <c r="C291" s="10" t="s">
        <v>21</v>
      </c>
      <c r="D291" s="10">
        <v>10</v>
      </c>
      <c r="E291" s="11">
        <v>199.23652610400001</v>
      </c>
      <c r="F291" s="10">
        <v>672</v>
      </c>
      <c r="G291" s="11">
        <v>0.77003650099843091</v>
      </c>
      <c r="H291" s="12">
        <v>0</v>
      </c>
      <c r="I291" s="10">
        <v>0</v>
      </c>
      <c r="J291" s="10">
        <v>1</v>
      </c>
      <c r="K291" s="14">
        <v>3126</v>
      </c>
      <c r="L291" s="14">
        <v>3251</v>
      </c>
      <c r="M291" s="14">
        <v>582</v>
      </c>
      <c r="N291" s="15">
        <v>93.430599999999998</v>
      </c>
      <c r="O291" s="11">
        <f t="shared" si="4"/>
        <v>33.457989138462132</v>
      </c>
      <c r="P291" s="10">
        <v>41</v>
      </c>
      <c r="Q291" s="16">
        <v>12584</v>
      </c>
      <c r="R291" s="11">
        <v>12242038.349999998</v>
      </c>
      <c r="S291" s="17">
        <v>69.710743801652896</v>
      </c>
      <c r="T291" s="10">
        <v>1</v>
      </c>
      <c r="U291" s="12">
        <v>0.3654265225302365</v>
      </c>
      <c r="V291" s="14">
        <v>223</v>
      </c>
      <c r="W291" s="11">
        <v>6085.7122999999956</v>
      </c>
      <c r="X291" s="18">
        <v>211</v>
      </c>
    </row>
    <row r="292" spans="1:24" ht="15" customHeight="1" x14ac:dyDescent="0.3">
      <c r="A292" s="9">
        <v>39018</v>
      </c>
      <c r="B292" s="9" t="s">
        <v>294</v>
      </c>
      <c r="C292" s="10" t="s">
        <v>9</v>
      </c>
      <c r="D292" s="10">
        <v>1</v>
      </c>
      <c r="E292" s="11">
        <v>70.443525598999997</v>
      </c>
      <c r="F292" s="10">
        <v>633</v>
      </c>
      <c r="G292" s="11">
        <v>0.55778710447545354</v>
      </c>
      <c r="H292" s="12">
        <v>0</v>
      </c>
      <c r="I292" s="10">
        <v>1</v>
      </c>
      <c r="J292" s="13">
        <v>0</v>
      </c>
      <c r="K292" s="14">
        <v>4373</v>
      </c>
      <c r="L292" s="14">
        <v>4489</v>
      </c>
      <c r="M292" s="14">
        <v>824</v>
      </c>
      <c r="N292" s="15">
        <v>26.038699999999999</v>
      </c>
      <c r="O292" s="11">
        <f t="shared" si="4"/>
        <v>167.94233199046036</v>
      </c>
      <c r="P292" s="10">
        <v>0</v>
      </c>
      <c r="Q292" s="16">
        <v>14918</v>
      </c>
      <c r="R292" s="11">
        <v>3658000.0199999986</v>
      </c>
      <c r="S292" s="17">
        <v>72.775030902348576</v>
      </c>
      <c r="T292" s="10">
        <v>1</v>
      </c>
      <c r="U292" s="12">
        <v>2.2680491551459295E-2</v>
      </c>
      <c r="V292" s="14">
        <v>260</v>
      </c>
      <c r="W292" s="11">
        <v>2179.998000000001</v>
      </c>
      <c r="X292" s="18">
        <v>220</v>
      </c>
    </row>
    <row r="293" spans="1:24" ht="15" customHeight="1" x14ac:dyDescent="0.3">
      <c r="A293" s="9">
        <v>36044</v>
      </c>
      <c r="B293" s="9" t="s">
        <v>295</v>
      </c>
      <c r="C293" s="10" t="s">
        <v>27</v>
      </c>
      <c r="D293" s="10">
        <v>5</v>
      </c>
      <c r="E293" s="11">
        <v>89.37728457</v>
      </c>
      <c r="F293" s="10">
        <v>642</v>
      </c>
      <c r="G293" s="11">
        <v>0.89091190066582759</v>
      </c>
      <c r="H293" s="12">
        <v>0</v>
      </c>
      <c r="I293" s="10">
        <v>0</v>
      </c>
      <c r="J293" s="13">
        <v>0</v>
      </c>
      <c r="K293" s="14">
        <v>15453</v>
      </c>
      <c r="L293" s="14">
        <v>15061</v>
      </c>
      <c r="M293" s="14">
        <v>2627</v>
      </c>
      <c r="N293" s="15">
        <v>50.929000000000002</v>
      </c>
      <c r="O293" s="11">
        <f t="shared" si="4"/>
        <v>303.42241159260931</v>
      </c>
      <c r="P293" s="10">
        <v>13</v>
      </c>
      <c r="Q293" s="16">
        <v>15822</v>
      </c>
      <c r="R293" s="11">
        <v>16044733.289999992</v>
      </c>
      <c r="S293" s="17">
        <v>73.927642071686392</v>
      </c>
      <c r="T293" s="10">
        <v>0</v>
      </c>
      <c r="U293" s="12">
        <v>2.1284115452581978E-2</v>
      </c>
      <c r="V293" s="14">
        <v>1282</v>
      </c>
      <c r="W293" s="11">
        <v>3967.3334</v>
      </c>
      <c r="X293" s="18">
        <v>368</v>
      </c>
    </row>
    <row r="294" spans="1:24" ht="15" customHeight="1" x14ac:dyDescent="0.3">
      <c r="A294" s="9">
        <v>34035</v>
      </c>
      <c r="B294" s="9" t="s">
        <v>296</v>
      </c>
      <c r="C294" s="10" t="s">
        <v>5</v>
      </c>
      <c r="D294" s="10">
        <v>6</v>
      </c>
      <c r="E294" s="11">
        <v>55.526421259999999</v>
      </c>
      <c r="F294" s="10">
        <v>686</v>
      </c>
      <c r="G294" s="11">
        <v>0.34769049575027844</v>
      </c>
      <c r="H294" s="12">
        <v>0</v>
      </c>
      <c r="I294" s="10">
        <v>1</v>
      </c>
      <c r="J294" s="13">
        <v>0</v>
      </c>
      <c r="K294" s="14">
        <v>1713</v>
      </c>
      <c r="L294" s="14">
        <v>1809</v>
      </c>
      <c r="M294" s="14">
        <v>348</v>
      </c>
      <c r="N294" s="15">
        <v>73.136300000000006</v>
      </c>
      <c r="O294" s="11">
        <f t="shared" si="4"/>
        <v>23.422021622641559</v>
      </c>
      <c r="P294" s="10">
        <v>96</v>
      </c>
      <c r="Q294" s="16">
        <v>16913</v>
      </c>
      <c r="R294" s="11">
        <v>2572914.1900000009</v>
      </c>
      <c r="S294" s="17">
        <v>67.83844427823486</v>
      </c>
      <c r="T294" s="10">
        <v>1</v>
      </c>
      <c r="U294" s="12">
        <v>0.57194284933005191</v>
      </c>
      <c r="V294" s="14">
        <v>136</v>
      </c>
      <c r="W294" s="11">
        <v>3230.2142000000013</v>
      </c>
      <c r="X294" s="18">
        <v>132</v>
      </c>
    </row>
    <row r="295" spans="1:24" ht="15" customHeight="1" x14ac:dyDescent="0.3">
      <c r="A295" s="9">
        <v>34036</v>
      </c>
      <c r="B295" s="9" t="s">
        <v>297</v>
      </c>
      <c r="C295" s="10" t="s">
        <v>5</v>
      </c>
      <c r="D295" s="10">
        <v>1</v>
      </c>
      <c r="E295" s="11">
        <v>48.737124950000002</v>
      </c>
      <c r="F295" s="10">
        <v>681</v>
      </c>
      <c r="G295" s="30">
        <v>0.80960801630106427</v>
      </c>
      <c r="H295" s="12">
        <v>0</v>
      </c>
      <c r="I295" s="10">
        <v>0</v>
      </c>
      <c r="J295" s="13">
        <v>0</v>
      </c>
      <c r="K295" s="14">
        <v>4736</v>
      </c>
      <c r="L295" s="14">
        <v>4872</v>
      </c>
      <c r="M295" s="14">
        <v>805</v>
      </c>
      <c r="N295" s="15">
        <v>45.387</v>
      </c>
      <c r="O295" s="11">
        <f t="shared" si="4"/>
        <v>104.34705973075991</v>
      </c>
      <c r="P295" s="10">
        <v>9</v>
      </c>
      <c r="Q295" s="16">
        <v>16073</v>
      </c>
      <c r="R295" s="11">
        <v>5119060.2200000007</v>
      </c>
      <c r="S295" s="17">
        <v>75.454291305563331</v>
      </c>
      <c r="T295" s="10">
        <v>1</v>
      </c>
      <c r="U295" s="12">
        <v>2.059925093632959E-2</v>
      </c>
      <c r="V295" s="14">
        <v>336</v>
      </c>
      <c r="W295" s="11">
        <v>3818.1397000000024</v>
      </c>
      <c r="X295" s="18">
        <v>175</v>
      </c>
    </row>
    <row r="296" spans="1:24" ht="15" customHeight="1" x14ac:dyDescent="0.3">
      <c r="A296" s="9">
        <v>34051</v>
      </c>
      <c r="B296" s="9" t="s">
        <v>298</v>
      </c>
      <c r="C296" s="10" t="s">
        <v>5</v>
      </c>
      <c r="D296" s="10">
        <v>1</v>
      </c>
      <c r="E296" s="11">
        <v>55.792898733999998</v>
      </c>
      <c r="F296" s="10">
        <v>661</v>
      </c>
      <c r="G296" s="11">
        <v>0.87575161418347702</v>
      </c>
      <c r="H296" s="12">
        <v>9.783592117049867E-3</v>
      </c>
      <c r="I296" s="10">
        <v>1</v>
      </c>
      <c r="J296" s="13">
        <v>0</v>
      </c>
      <c r="K296" s="14">
        <v>12803</v>
      </c>
      <c r="L296" s="14">
        <f>9602+3382</f>
        <v>12984</v>
      </c>
      <c r="M296" s="14">
        <v>2014</v>
      </c>
      <c r="N296" s="15">
        <v>66.983599999999996</v>
      </c>
      <c r="O296" s="11">
        <f t="shared" si="4"/>
        <v>191.13633784986177</v>
      </c>
      <c r="P296" s="10">
        <v>19</v>
      </c>
      <c r="Q296" s="16">
        <v>16679</v>
      </c>
      <c r="R296" s="11">
        <v>11080331.409999996</v>
      </c>
      <c r="S296" s="17">
        <v>72.131661442006262</v>
      </c>
      <c r="T296" s="10">
        <v>0</v>
      </c>
      <c r="U296" s="12">
        <v>9.8829501343684706E-2</v>
      </c>
      <c r="V296" s="14">
        <v>1004</v>
      </c>
      <c r="W296" s="11">
        <v>4911.0755999999992</v>
      </c>
      <c r="X296" s="18">
        <v>125</v>
      </c>
    </row>
    <row r="297" spans="1:24" ht="15" customHeight="1" x14ac:dyDescent="0.3">
      <c r="A297" s="9">
        <v>36045</v>
      </c>
      <c r="B297" s="9" t="s">
        <v>299</v>
      </c>
      <c r="C297" s="10" t="s">
        <v>27</v>
      </c>
      <c r="D297" s="10">
        <v>2</v>
      </c>
      <c r="E297" s="11">
        <v>99.740972380000002</v>
      </c>
      <c r="F297" s="10">
        <v>629</v>
      </c>
      <c r="G297" s="11">
        <v>0.93425462273951942</v>
      </c>
      <c r="H297" s="12">
        <v>0</v>
      </c>
      <c r="I297" s="10">
        <v>0</v>
      </c>
      <c r="J297" s="10">
        <v>1</v>
      </c>
      <c r="K297" s="14">
        <v>12825</v>
      </c>
      <c r="L297" s="14">
        <v>12130</v>
      </c>
      <c r="M297" s="14">
        <v>2283</v>
      </c>
      <c r="N297" s="15">
        <v>29.792200000000001</v>
      </c>
      <c r="O297" s="11">
        <f t="shared" si="4"/>
        <v>430.48180396211086</v>
      </c>
      <c r="P297" s="10">
        <v>0</v>
      </c>
      <c r="Q297" s="16">
        <v>16088</v>
      </c>
      <c r="R297" s="11">
        <v>12498464.599999996</v>
      </c>
      <c r="S297" s="17">
        <v>73.867871259175615</v>
      </c>
      <c r="T297" s="10">
        <v>0</v>
      </c>
      <c r="U297" s="12">
        <v>5.0647868412218862E-2</v>
      </c>
      <c r="V297" s="14">
        <v>1036</v>
      </c>
      <c r="W297" s="11">
        <v>1873.3390999999995</v>
      </c>
      <c r="X297" s="18">
        <v>229</v>
      </c>
    </row>
    <row r="298" spans="1:24" ht="15" customHeight="1" x14ac:dyDescent="0.3">
      <c r="A298" s="9">
        <v>99027</v>
      </c>
      <c r="B298" s="9" t="s">
        <v>300</v>
      </c>
      <c r="C298" s="10" t="s">
        <v>30</v>
      </c>
      <c r="D298" s="10">
        <v>0</v>
      </c>
      <c r="E298" s="11">
        <v>1.4225697769999996</v>
      </c>
      <c r="F298" s="10">
        <v>704</v>
      </c>
      <c r="G298" s="11">
        <v>0.39209918385944159</v>
      </c>
      <c r="H298" s="12">
        <v>0</v>
      </c>
      <c r="I298" s="10">
        <v>0</v>
      </c>
      <c r="J298" s="13">
        <v>0</v>
      </c>
      <c r="K298" s="14">
        <v>1067</v>
      </c>
      <c r="L298" s="14">
        <v>1060</v>
      </c>
      <c r="M298" s="14">
        <v>196</v>
      </c>
      <c r="N298" s="15">
        <v>10.588800000000001</v>
      </c>
      <c r="O298" s="11">
        <f t="shared" si="4"/>
        <v>100.7668479903294</v>
      </c>
      <c r="P298" s="10">
        <v>0</v>
      </c>
      <c r="Q298" s="16">
        <v>12635</v>
      </c>
      <c r="R298" s="11">
        <v>1623298.1999999997</v>
      </c>
      <c r="S298" s="17">
        <v>72.068965517241381</v>
      </c>
      <c r="T298" s="10">
        <v>1</v>
      </c>
      <c r="U298" s="12">
        <v>0.38052880075542966</v>
      </c>
      <c r="V298" s="14">
        <v>88</v>
      </c>
      <c r="W298" s="11">
        <v>417.39550000000014</v>
      </c>
      <c r="X298" s="18">
        <v>23</v>
      </c>
    </row>
    <row r="299" spans="1:24" ht="15" customHeight="1" x14ac:dyDescent="0.3">
      <c r="A299" s="9">
        <v>34038</v>
      </c>
      <c r="B299" s="9" t="s">
        <v>301</v>
      </c>
      <c r="C299" s="10" t="s">
        <v>5</v>
      </c>
      <c r="D299" s="10">
        <v>5</v>
      </c>
      <c r="E299" s="11">
        <v>7.128368289</v>
      </c>
      <c r="F299" s="10">
        <v>688</v>
      </c>
      <c r="G299" s="11">
        <v>0.34269459893021892</v>
      </c>
      <c r="H299" s="12">
        <v>6.7000000000000002E-3</v>
      </c>
      <c r="I299" s="10">
        <v>1</v>
      </c>
      <c r="J299" s="13">
        <v>0</v>
      </c>
      <c r="K299" s="14">
        <v>1148</v>
      </c>
      <c r="L299" s="14">
        <v>1195</v>
      </c>
      <c r="M299" s="14">
        <v>280</v>
      </c>
      <c r="N299" s="15">
        <v>72.697199999999995</v>
      </c>
      <c r="O299" s="11">
        <f t="shared" si="4"/>
        <v>15.791529797571297</v>
      </c>
      <c r="P299" s="10">
        <v>100</v>
      </c>
      <c r="Q299" s="16">
        <v>16375</v>
      </c>
      <c r="R299" s="11">
        <v>1285761.6799999997</v>
      </c>
      <c r="S299" s="17">
        <v>66.843783209351741</v>
      </c>
      <c r="T299" s="10">
        <v>1</v>
      </c>
      <c r="U299" s="12">
        <v>0.58697936726272348</v>
      </c>
      <c r="V299" s="14">
        <v>70</v>
      </c>
      <c r="W299" s="11">
        <v>2962.5415999999996</v>
      </c>
      <c r="X299" s="18">
        <v>86</v>
      </c>
    </row>
    <row r="300" spans="1:24" ht="15" customHeight="1" x14ac:dyDescent="0.3">
      <c r="A300" s="9">
        <v>38028</v>
      </c>
      <c r="B300" s="9" t="s">
        <v>302</v>
      </c>
      <c r="C300" s="10" t="s">
        <v>17</v>
      </c>
      <c r="D300" s="10">
        <v>2</v>
      </c>
      <c r="E300" s="11">
        <v>70.775722231000003</v>
      </c>
      <c r="F300" s="10">
        <v>676</v>
      </c>
      <c r="G300" s="11">
        <v>0.83667989652876018</v>
      </c>
      <c r="H300" s="31">
        <v>0</v>
      </c>
      <c r="I300" s="10">
        <v>0</v>
      </c>
      <c r="J300" s="13">
        <v>0</v>
      </c>
      <c r="K300" s="14">
        <v>9962</v>
      </c>
      <c r="L300" s="24">
        <v>10571</v>
      </c>
      <c r="M300" s="14">
        <v>1903</v>
      </c>
      <c r="N300" s="21">
        <v>51.04</v>
      </c>
      <c r="O300" s="11">
        <f t="shared" si="4"/>
        <v>195.18025078369905</v>
      </c>
      <c r="P300" s="10">
        <v>17</v>
      </c>
      <c r="Q300" s="16">
        <v>15250</v>
      </c>
      <c r="R300" s="11">
        <v>11567123.040000005</v>
      </c>
      <c r="S300" s="17">
        <v>71.826948136565022</v>
      </c>
      <c r="T300" s="10">
        <v>0</v>
      </c>
      <c r="U300" s="12">
        <v>4.4841300940438873E-2</v>
      </c>
      <c r="V300" s="14">
        <v>638</v>
      </c>
      <c r="W300" s="11">
        <v>3948.2723000000033</v>
      </c>
      <c r="X300" s="28">
        <v>211</v>
      </c>
    </row>
    <row r="301" spans="1:24" ht="15" customHeight="1" x14ac:dyDescent="0.3">
      <c r="A301" s="9">
        <v>34039</v>
      </c>
      <c r="B301" s="9" t="s">
        <v>303</v>
      </c>
      <c r="C301" s="10" t="s">
        <v>5</v>
      </c>
      <c r="D301" s="10">
        <v>2</v>
      </c>
      <c r="E301" s="11">
        <v>1.5755371099999991</v>
      </c>
      <c r="F301" s="10">
        <v>740</v>
      </c>
      <c r="G301" s="11">
        <v>0.61453587719502212</v>
      </c>
      <c r="H301" s="12">
        <v>2.9300000000000003E-2</v>
      </c>
      <c r="I301" s="10">
        <v>0</v>
      </c>
      <c r="J301" s="13">
        <v>0</v>
      </c>
      <c r="K301" s="14">
        <v>2128</v>
      </c>
      <c r="L301" s="14">
        <v>2113</v>
      </c>
      <c r="M301" s="14">
        <v>450</v>
      </c>
      <c r="N301" s="15">
        <v>78.387600000000006</v>
      </c>
      <c r="O301" s="11">
        <f t="shared" si="4"/>
        <v>27.147150824875361</v>
      </c>
      <c r="P301" s="10">
        <v>27</v>
      </c>
      <c r="Q301" s="16">
        <v>14806</v>
      </c>
      <c r="R301" s="11">
        <v>4529633.2299999986</v>
      </c>
      <c r="S301" s="17">
        <v>70.825456836798992</v>
      </c>
      <c r="T301" s="10">
        <v>1</v>
      </c>
      <c r="U301" s="12">
        <v>0.56030998851894387</v>
      </c>
      <c r="V301" s="14">
        <v>178</v>
      </c>
      <c r="W301" s="11">
        <v>3039.5312000000022</v>
      </c>
      <c r="X301" s="18">
        <v>124</v>
      </c>
    </row>
    <row r="302" spans="1:24" ht="15" customHeight="1" x14ac:dyDescent="0.3">
      <c r="A302" s="9">
        <v>35041</v>
      </c>
      <c r="B302" s="9" t="s">
        <v>304</v>
      </c>
      <c r="C302" s="10" t="s">
        <v>7</v>
      </c>
      <c r="D302" s="10">
        <v>1</v>
      </c>
      <c r="E302" s="11">
        <v>129.44886484</v>
      </c>
      <c r="F302" s="10">
        <v>668</v>
      </c>
      <c r="G302" s="11">
        <v>0.4615005400767177</v>
      </c>
      <c r="H302" s="12">
        <v>0</v>
      </c>
      <c r="I302" s="10">
        <v>0</v>
      </c>
      <c r="J302" s="13">
        <v>0</v>
      </c>
      <c r="K302" s="14">
        <v>4141</v>
      </c>
      <c r="L302" s="14">
        <v>4458</v>
      </c>
      <c r="M302" s="14">
        <v>838</v>
      </c>
      <c r="N302" s="15">
        <v>67.254900000000006</v>
      </c>
      <c r="O302" s="11">
        <f t="shared" si="4"/>
        <v>61.571721911712004</v>
      </c>
      <c r="P302" s="10">
        <v>35</v>
      </c>
      <c r="Q302" s="16">
        <v>14376</v>
      </c>
      <c r="R302" s="11">
        <v>4384568.8600000031</v>
      </c>
      <c r="S302" s="17">
        <v>70.203442879499221</v>
      </c>
      <c r="T302" s="10">
        <v>1</v>
      </c>
      <c r="U302" s="12">
        <v>0.3506884758364312</v>
      </c>
      <c r="V302" s="14">
        <v>317</v>
      </c>
      <c r="W302" s="11">
        <v>3637.3773000000001</v>
      </c>
      <c r="X302" s="18">
        <v>146</v>
      </c>
    </row>
    <row r="303" spans="1:24" ht="15" customHeight="1" x14ac:dyDescent="0.3">
      <c r="A303" s="9">
        <v>34040</v>
      </c>
      <c r="B303" s="9" t="s">
        <v>305</v>
      </c>
      <c r="C303" s="10" t="s">
        <v>5</v>
      </c>
      <c r="D303" s="10">
        <v>2</v>
      </c>
      <c r="E303" s="11">
        <v>-22.431689074999998</v>
      </c>
      <c r="F303" s="10">
        <v>714</v>
      </c>
      <c r="G303" s="11">
        <v>0.25485672434312917</v>
      </c>
      <c r="H303" s="12">
        <v>3.4999999999999996E-3</v>
      </c>
      <c r="I303" s="10">
        <v>0</v>
      </c>
      <c r="J303" s="13">
        <v>0</v>
      </c>
      <c r="K303" s="14">
        <v>910</v>
      </c>
      <c r="L303" s="14">
        <v>1102</v>
      </c>
      <c r="M303" s="14">
        <v>274</v>
      </c>
      <c r="N303" s="15">
        <v>67.478899999999996</v>
      </c>
      <c r="O303" s="11">
        <f t="shared" si="4"/>
        <v>13.485697010472904</v>
      </c>
      <c r="P303" s="10">
        <v>100</v>
      </c>
      <c r="Q303" s="16">
        <v>13751</v>
      </c>
      <c r="R303" s="11">
        <v>2246658.1999999997</v>
      </c>
      <c r="S303" s="17">
        <v>67.228915662650607</v>
      </c>
      <c r="T303" s="10">
        <v>1</v>
      </c>
      <c r="U303" s="12">
        <v>0.84136929460580911</v>
      </c>
      <c r="V303" s="14">
        <v>78</v>
      </c>
      <c r="W303" s="11">
        <v>3637.3773000000001</v>
      </c>
      <c r="X303" s="18">
        <v>40</v>
      </c>
    </row>
    <row r="304" spans="1:24" ht="15" customHeight="1" x14ac:dyDescent="0.3">
      <c r="A304" s="9">
        <v>34041</v>
      </c>
      <c r="B304" s="9" t="s">
        <v>306</v>
      </c>
      <c r="C304" s="10" t="s">
        <v>5</v>
      </c>
      <c r="D304" s="10">
        <v>2</v>
      </c>
      <c r="E304" s="11">
        <v>82.333484810000002</v>
      </c>
      <c r="F304" s="10">
        <v>658</v>
      </c>
      <c r="G304" s="11">
        <v>0.78464809819370795</v>
      </c>
      <c r="H304" s="12">
        <v>7.1999999999999998E-3</v>
      </c>
      <c r="I304" s="10">
        <v>1</v>
      </c>
      <c r="J304" s="10">
        <v>1</v>
      </c>
      <c r="K304" s="14">
        <v>7744</v>
      </c>
      <c r="L304" s="14">
        <v>7458</v>
      </c>
      <c r="M304" s="14">
        <v>978</v>
      </c>
      <c r="N304" s="15">
        <v>37.147599999999997</v>
      </c>
      <c r="O304" s="11">
        <f t="shared" si="4"/>
        <v>208.46568822750328</v>
      </c>
      <c r="P304" s="10">
        <v>8</v>
      </c>
      <c r="Q304" s="16">
        <v>15893</v>
      </c>
      <c r="R304" s="11">
        <v>12595261.609999999</v>
      </c>
      <c r="S304" s="17">
        <v>69.377904898105115</v>
      </c>
      <c r="T304" s="10">
        <v>0</v>
      </c>
      <c r="U304" s="12">
        <v>3.9257065948855994E-2</v>
      </c>
      <c r="V304" s="14">
        <v>484</v>
      </c>
      <c r="W304" s="11">
        <v>2882.3107999999988</v>
      </c>
      <c r="X304" s="18">
        <v>98</v>
      </c>
    </row>
    <row r="305" spans="1:24" ht="15" customHeight="1" x14ac:dyDescent="0.3">
      <c r="A305" s="9">
        <v>34042</v>
      </c>
      <c r="B305" s="9" t="s">
        <v>307</v>
      </c>
      <c r="C305" s="10" t="s">
        <v>5</v>
      </c>
      <c r="D305" s="10">
        <v>5</v>
      </c>
      <c r="E305" s="11">
        <v>47.737079277999996</v>
      </c>
      <c r="F305" s="10">
        <v>660</v>
      </c>
      <c r="G305" s="11">
        <v>0.86327457449102485</v>
      </c>
      <c r="H305" s="12">
        <v>0</v>
      </c>
      <c r="I305" s="10">
        <v>0</v>
      </c>
      <c r="J305" s="13">
        <v>0</v>
      </c>
      <c r="K305" s="14">
        <v>9559</v>
      </c>
      <c r="L305" s="14">
        <v>9275</v>
      </c>
      <c r="M305" s="14">
        <v>1583</v>
      </c>
      <c r="N305" s="15">
        <v>54.860999999999997</v>
      </c>
      <c r="O305" s="11">
        <f t="shared" si="4"/>
        <v>174.24035289185397</v>
      </c>
      <c r="P305" s="10">
        <v>6</v>
      </c>
      <c r="Q305" s="16">
        <v>17861</v>
      </c>
      <c r="R305" s="11">
        <v>9077299.6000000034</v>
      </c>
      <c r="S305" s="17">
        <v>72.017229002153627</v>
      </c>
      <c r="T305" s="10">
        <v>0</v>
      </c>
      <c r="U305" s="12">
        <v>0.21431826467371493</v>
      </c>
      <c r="V305" s="14">
        <v>863</v>
      </c>
      <c r="W305" s="11">
        <v>2987.5174000000002</v>
      </c>
      <c r="X305" s="18">
        <v>180</v>
      </c>
    </row>
    <row r="306" spans="1:24" ht="15" customHeight="1" x14ac:dyDescent="0.3">
      <c r="A306" s="9">
        <v>33043</v>
      </c>
      <c r="B306" s="9" t="s">
        <v>308</v>
      </c>
      <c r="C306" s="10" t="s">
        <v>3</v>
      </c>
      <c r="D306" s="10">
        <v>9</v>
      </c>
      <c r="E306" s="11">
        <v>-21.268864563999998</v>
      </c>
      <c r="F306" s="10">
        <v>707</v>
      </c>
      <c r="G306" s="11">
        <v>0.63285445923665118</v>
      </c>
      <c r="H306" s="12">
        <v>0</v>
      </c>
      <c r="I306" s="10">
        <v>0</v>
      </c>
      <c r="J306" s="13">
        <v>0</v>
      </c>
      <c r="K306" s="14">
        <v>2180</v>
      </c>
      <c r="L306" s="14">
        <v>1993</v>
      </c>
      <c r="M306" s="14">
        <v>519</v>
      </c>
      <c r="N306" s="15">
        <v>81.013300000000001</v>
      </c>
      <c r="O306" s="11">
        <f t="shared" si="4"/>
        <v>26.909161828983635</v>
      </c>
      <c r="P306" s="10">
        <v>95</v>
      </c>
      <c r="Q306" s="16">
        <v>18429</v>
      </c>
      <c r="R306" s="11">
        <v>3227165.2499999981</v>
      </c>
      <c r="S306" s="17">
        <v>69.201312910284457</v>
      </c>
      <c r="T306" s="10">
        <v>1</v>
      </c>
      <c r="U306" s="12">
        <v>0.45300580175286997</v>
      </c>
      <c r="V306" s="14">
        <v>130</v>
      </c>
      <c r="W306" s="11">
        <v>4143.7879000000021</v>
      </c>
      <c r="X306" s="18">
        <v>243</v>
      </c>
    </row>
    <row r="307" spans="1:24" ht="15" customHeight="1" x14ac:dyDescent="0.3">
      <c r="A307" s="9">
        <v>40049</v>
      </c>
      <c r="B307" s="9" t="s">
        <v>309</v>
      </c>
      <c r="C307" s="10" t="s">
        <v>21</v>
      </c>
      <c r="D307" s="10">
        <v>9</v>
      </c>
      <c r="E307" s="11">
        <v>-21.378056817000001</v>
      </c>
      <c r="F307" s="10">
        <v>632</v>
      </c>
      <c r="G307" s="11">
        <v>0.86675201387369294</v>
      </c>
      <c r="H307" s="12">
        <v>0.1208</v>
      </c>
      <c r="I307" s="10">
        <v>0</v>
      </c>
      <c r="J307" s="13">
        <v>0</v>
      </c>
      <c r="K307" s="14">
        <v>1110</v>
      </c>
      <c r="L307" s="14">
        <v>1259</v>
      </c>
      <c r="M307" s="14">
        <v>277</v>
      </c>
      <c r="N307" s="15">
        <v>62.202599999999997</v>
      </c>
      <c r="O307" s="11">
        <f t="shared" si="4"/>
        <v>17.844913235138083</v>
      </c>
      <c r="P307" s="10">
        <v>100</v>
      </c>
      <c r="Q307" s="16">
        <v>13616</v>
      </c>
      <c r="R307" s="11">
        <v>1736189.1500000001</v>
      </c>
      <c r="S307" s="17">
        <v>70.498915401301517</v>
      </c>
      <c r="T307" s="10">
        <v>1</v>
      </c>
      <c r="U307" s="12">
        <v>0.63502090032154335</v>
      </c>
      <c r="V307" s="14">
        <v>71</v>
      </c>
      <c r="W307" s="11">
        <v>3830.9403999999995</v>
      </c>
      <c r="X307" s="18">
        <v>73</v>
      </c>
    </row>
    <row r="308" spans="1:24" ht="15" customHeight="1" x14ac:dyDescent="0.3">
      <c r="A308" s="9">
        <v>38030</v>
      </c>
      <c r="B308" s="9" t="s">
        <v>310</v>
      </c>
      <c r="C308" s="10" t="s">
        <v>17</v>
      </c>
      <c r="D308" s="10">
        <v>2</v>
      </c>
      <c r="E308" s="11">
        <v>31.626423537000001</v>
      </c>
      <c r="F308" s="10">
        <v>675</v>
      </c>
      <c r="G308" s="11">
        <v>0.8124502955640206</v>
      </c>
      <c r="H308" s="12">
        <v>0</v>
      </c>
      <c r="I308" s="10">
        <v>0</v>
      </c>
      <c r="J308" s="13">
        <v>0</v>
      </c>
      <c r="K308" s="14">
        <v>6947</v>
      </c>
      <c r="L308" s="20">
        <v>7364</v>
      </c>
      <c r="M308" s="14">
        <v>1645</v>
      </c>
      <c r="N308" s="21">
        <v>43.0593</v>
      </c>
      <c r="O308" s="11">
        <f t="shared" si="4"/>
        <v>161.33564642249178</v>
      </c>
      <c r="P308" s="10">
        <v>38</v>
      </c>
      <c r="Q308" s="16">
        <v>14767</v>
      </c>
      <c r="R308" s="11">
        <v>5853652.3299999991</v>
      </c>
      <c r="S308" s="17">
        <v>68.360864040660744</v>
      </c>
      <c r="T308" s="10">
        <v>0</v>
      </c>
      <c r="U308" s="12">
        <v>0</v>
      </c>
      <c r="V308" s="14">
        <v>453</v>
      </c>
      <c r="W308" s="11">
        <v>3755.0916000000025</v>
      </c>
      <c r="X308" s="28">
        <v>183</v>
      </c>
    </row>
    <row r="309" spans="1:24" ht="15" customHeight="1" x14ac:dyDescent="0.3">
      <c r="A309" s="9">
        <v>34044</v>
      </c>
      <c r="B309" s="9" t="s">
        <v>311</v>
      </c>
      <c r="C309" s="10" t="s">
        <v>5</v>
      </c>
      <c r="D309" s="10">
        <v>3</v>
      </c>
      <c r="E309" s="11">
        <v>-9.3376417370000002</v>
      </c>
      <c r="F309" s="10">
        <v>771</v>
      </c>
      <c r="G309" s="11">
        <v>0.34789051036855534</v>
      </c>
      <c r="H309" s="12">
        <v>0</v>
      </c>
      <c r="I309" s="10">
        <v>0</v>
      </c>
      <c r="J309" s="10">
        <v>1</v>
      </c>
      <c r="K309" s="14">
        <v>535</v>
      </c>
      <c r="L309" s="14">
        <v>567</v>
      </c>
      <c r="M309" s="14">
        <v>176</v>
      </c>
      <c r="N309" s="15">
        <v>67.642399999999995</v>
      </c>
      <c r="O309" s="11">
        <f t="shared" si="4"/>
        <v>7.9092403581185771</v>
      </c>
      <c r="P309" s="10">
        <v>100</v>
      </c>
      <c r="Q309" s="16">
        <v>14294</v>
      </c>
      <c r="R309" s="11">
        <v>1137018.2799999998</v>
      </c>
      <c r="S309" s="17">
        <v>61.702127659574465</v>
      </c>
      <c r="T309" s="10">
        <v>1</v>
      </c>
      <c r="U309" s="12">
        <v>0.76430218805440564</v>
      </c>
      <c r="V309" s="14">
        <v>36</v>
      </c>
      <c r="W309" s="11">
        <v>1840.2833999999996</v>
      </c>
      <c r="X309" s="18">
        <v>64</v>
      </c>
    </row>
    <row r="310" spans="1:24" ht="15" customHeight="1" x14ac:dyDescent="0.3">
      <c r="A310" s="9">
        <v>37061</v>
      </c>
      <c r="B310" s="27" t="s">
        <v>312</v>
      </c>
      <c r="C310" s="10" t="s">
        <v>13</v>
      </c>
      <c r="D310" s="10">
        <v>25</v>
      </c>
      <c r="E310" s="11">
        <v>198.15942233999999</v>
      </c>
      <c r="F310" s="10">
        <v>662</v>
      </c>
      <c r="G310" s="11">
        <v>0.64891459141666685</v>
      </c>
      <c r="H310" s="12">
        <v>4.9566223195239699E-2</v>
      </c>
      <c r="I310" s="10">
        <v>3</v>
      </c>
      <c r="J310" s="10">
        <v>1</v>
      </c>
      <c r="K310" s="14">
        <v>31610</v>
      </c>
      <c r="L310" s="24">
        <v>29427</v>
      </c>
      <c r="M310" s="14">
        <v>5516</v>
      </c>
      <c r="N310" s="21">
        <v>178.13</v>
      </c>
      <c r="O310" s="11">
        <f t="shared" si="4"/>
        <v>177.45466793914557</v>
      </c>
      <c r="P310" s="10">
        <v>5</v>
      </c>
      <c r="Q310" s="16">
        <v>17510</v>
      </c>
      <c r="R310" s="11">
        <v>39288682.090000004</v>
      </c>
      <c r="S310" s="17">
        <v>73.475972151468838</v>
      </c>
      <c r="T310" s="10">
        <v>0</v>
      </c>
      <c r="U310" s="12">
        <v>0.25068653867744467</v>
      </c>
      <c r="V310" s="14">
        <v>2697</v>
      </c>
      <c r="W310" s="11">
        <v>10224.648799999994</v>
      </c>
      <c r="X310" s="28">
        <v>778</v>
      </c>
    </row>
    <row r="311" spans="1:24" ht="15" customHeight="1" x14ac:dyDescent="0.3">
      <c r="A311" s="9">
        <v>34045</v>
      </c>
      <c r="B311" s="9" t="s">
        <v>313</v>
      </c>
      <c r="C311" s="10" t="s">
        <v>5</v>
      </c>
      <c r="D311" s="10">
        <v>1</v>
      </c>
      <c r="E311" s="30">
        <v>4.9971007499999995</v>
      </c>
      <c r="F311" s="10">
        <v>740</v>
      </c>
      <c r="G311" s="11">
        <v>0.45220720437803558</v>
      </c>
      <c r="H311" s="12">
        <v>0</v>
      </c>
      <c r="I311" s="10">
        <v>0</v>
      </c>
      <c r="J311" s="13">
        <v>0</v>
      </c>
      <c r="K311" s="14">
        <v>2573</v>
      </c>
      <c r="L311" s="14">
        <v>2689</v>
      </c>
      <c r="M311" s="14">
        <v>462</v>
      </c>
      <c r="N311" s="15">
        <v>64.922399999999996</v>
      </c>
      <c r="O311" s="11">
        <f t="shared" si="4"/>
        <v>39.631929811590453</v>
      </c>
      <c r="P311" s="10">
        <v>61</v>
      </c>
      <c r="Q311" s="16">
        <v>17206</v>
      </c>
      <c r="R311" s="11">
        <v>3736035.8999999994</v>
      </c>
      <c r="S311" s="17">
        <v>73.257538309441429</v>
      </c>
      <c r="T311" s="10">
        <v>1</v>
      </c>
      <c r="U311" s="12">
        <v>0.50692390634627238</v>
      </c>
      <c r="V311" s="14">
        <v>228</v>
      </c>
      <c r="W311" s="11">
        <v>3317.476999999999</v>
      </c>
      <c r="X311" s="18">
        <v>129</v>
      </c>
    </row>
    <row r="312" spans="1:24" ht="15" customHeight="1" x14ac:dyDescent="0.3">
      <c r="A312" s="9">
        <v>34046</v>
      </c>
      <c r="B312" s="9" t="s">
        <v>314</v>
      </c>
      <c r="C312" s="10" t="s">
        <v>5</v>
      </c>
      <c r="D312" s="10">
        <v>1</v>
      </c>
      <c r="E312" s="11">
        <v>-8.7745524770000003</v>
      </c>
      <c r="F312" s="10">
        <v>762</v>
      </c>
      <c r="G312" s="11">
        <v>0.32491141532061585</v>
      </c>
      <c r="H312" s="12">
        <v>0</v>
      </c>
      <c r="I312" s="10">
        <v>0</v>
      </c>
      <c r="J312" s="13">
        <v>0</v>
      </c>
      <c r="K312" s="14">
        <v>1123</v>
      </c>
      <c r="L312" s="14">
        <v>1281</v>
      </c>
      <c r="M312" s="14">
        <v>331</v>
      </c>
      <c r="N312" s="15">
        <v>80.065600000000003</v>
      </c>
      <c r="O312" s="11">
        <f t="shared" si="4"/>
        <v>14.025998681081512</v>
      </c>
      <c r="P312" s="10">
        <v>100</v>
      </c>
      <c r="Q312" s="16">
        <v>15450</v>
      </c>
      <c r="R312" s="11">
        <v>3176573.6399999987</v>
      </c>
      <c r="S312" s="17">
        <v>65.203761755485885</v>
      </c>
      <c r="T312" s="10">
        <v>1</v>
      </c>
      <c r="U312" s="12">
        <v>0.65789184463594363</v>
      </c>
      <c r="V312" s="14">
        <v>65</v>
      </c>
      <c r="W312" s="11">
        <v>2712.8436999999999</v>
      </c>
      <c r="X312" s="18">
        <v>144</v>
      </c>
    </row>
    <row r="313" spans="1:24" ht="15" customHeight="1" x14ac:dyDescent="0.3">
      <c r="A313" s="9">
        <v>35046</v>
      </c>
      <c r="B313" s="27" t="s">
        <v>315</v>
      </c>
      <c r="C313" s="10" t="s">
        <v>7</v>
      </c>
      <c r="D313" s="10">
        <v>4</v>
      </c>
      <c r="E313" s="11">
        <v>-141.12271974000001</v>
      </c>
      <c r="F313" s="10">
        <v>639</v>
      </c>
      <c r="G313" s="11">
        <v>0.387307506407086</v>
      </c>
      <c r="H313" s="12">
        <v>0.27310398431387739</v>
      </c>
      <c r="I313" s="10">
        <v>0</v>
      </c>
      <c r="J313" s="13">
        <v>0</v>
      </c>
      <c r="K313" s="14">
        <v>3941</v>
      </c>
      <c r="L313" s="24">
        <v>4407</v>
      </c>
      <c r="M313" s="14">
        <v>1085</v>
      </c>
      <c r="N313" s="21">
        <v>258.18209999999999</v>
      </c>
      <c r="O313" s="11">
        <f t="shared" si="4"/>
        <v>15.264419957851455</v>
      </c>
      <c r="P313" s="10">
        <v>61</v>
      </c>
      <c r="Q313" s="16">
        <v>13944</v>
      </c>
      <c r="R313" s="11">
        <v>8496071.8200000003</v>
      </c>
      <c r="S313" s="17">
        <v>70.479368932038838</v>
      </c>
      <c r="T313" s="10">
        <v>1</v>
      </c>
      <c r="U313" s="12">
        <v>0.76283318486385987</v>
      </c>
      <c r="V313" s="14">
        <v>365</v>
      </c>
      <c r="W313" s="11">
        <v>4409.6961999999967</v>
      </c>
      <c r="X313" s="29">
        <v>158</v>
      </c>
    </row>
    <row r="314" spans="1:24" ht="15" customHeight="1" x14ac:dyDescent="0.3">
      <c r="A314" s="9">
        <v>37059</v>
      </c>
      <c r="B314" s="27" t="s">
        <v>316</v>
      </c>
      <c r="C314" s="10" t="s">
        <v>13</v>
      </c>
      <c r="D314" s="10">
        <v>2</v>
      </c>
      <c r="E314" s="11">
        <v>1.7417466799999985</v>
      </c>
      <c r="F314" s="10">
        <v>587</v>
      </c>
      <c r="G314" s="11">
        <v>0.51715189688968632</v>
      </c>
      <c r="H314" s="12">
        <v>0</v>
      </c>
      <c r="I314" s="10">
        <v>3</v>
      </c>
      <c r="J314" s="13">
        <v>0</v>
      </c>
      <c r="K314" s="14">
        <v>7544</v>
      </c>
      <c r="L314" s="14">
        <v>7642</v>
      </c>
      <c r="M314" s="14">
        <v>1548</v>
      </c>
      <c r="N314" s="15">
        <v>59.941000000000003</v>
      </c>
      <c r="O314" s="11">
        <f t="shared" si="4"/>
        <v>125.85709280792778</v>
      </c>
      <c r="P314" s="10">
        <v>15</v>
      </c>
      <c r="Q314" s="16">
        <v>15029</v>
      </c>
      <c r="R314" s="11">
        <v>8044597.5499999952</v>
      </c>
      <c r="S314" s="17">
        <v>68.038827970519506</v>
      </c>
      <c r="T314" s="10">
        <v>0</v>
      </c>
      <c r="U314" s="12">
        <v>0.52752419085752422</v>
      </c>
      <c r="V314" s="14">
        <v>520</v>
      </c>
      <c r="W314" s="11">
        <v>2086.368199999999</v>
      </c>
      <c r="X314" s="18">
        <v>114</v>
      </c>
    </row>
    <row r="315" spans="1:24" ht="15" customHeight="1" x14ac:dyDescent="0.3">
      <c r="A315" s="9">
        <v>40050</v>
      </c>
      <c r="B315" s="9" t="s">
        <v>317</v>
      </c>
      <c r="C315" s="10" t="s">
        <v>21</v>
      </c>
      <c r="D315" s="10">
        <v>2</v>
      </c>
      <c r="E315" s="11">
        <v>-22.883102652999998</v>
      </c>
      <c r="F315" s="10">
        <v>666</v>
      </c>
      <c r="G315" s="11">
        <v>0.44214596706162879</v>
      </c>
      <c r="H315" s="12">
        <v>1.8E-3</v>
      </c>
      <c r="I315" s="10">
        <v>0</v>
      </c>
      <c r="J315" s="13">
        <v>0</v>
      </c>
      <c r="K315" s="14">
        <v>1772</v>
      </c>
      <c r="L315" s="14">
        <v>1974</v>
      </c>
      <c r="M315" s="14">
        <v>398</v>
      </c>
      <c r="N315" s="15">
        <v>117.8968</v>
      </c>
      <c r="O315" s="11">
        <f t="shared" si="4"/>
        <v>15.03009411621011</v>
      </c>
      <c r="P315" s="10">
        <v>100</v>
      </c>
      <c r="Q315" s="16">
        <v>13104</v>
      </c>
      <c r="R315" s="11">
        <v>1666020.3099999998</v>
      </c>
      <c r="S315" s="17">
        <v>68.487394957983199</v>
      </c>
      <c r="T315" s="10">
        <v>1</v>
      </c>
      <c r="U315" s="12">
        <v>0.68112637828668365</v>
      </c>
      <c r="V315" s="14">
        <v>164</v>
      </c>
      <c r="W315" s="11">
        <v>5764.297800000003</v>
      </c>
      <c r="X315" s="18">
        <v>124</v>
      </c>
    </row>
    <row r="316" spans="1:24" ht="15" customHeight="1" x14ac:dyDescent="0.3">
      <c r="A316" s="9">
        <v>33044</v>
      </c>
      <c r="B316" s="26" t="s">
        <v>318</v>
      </c>
      <c r="C316" s="10" t="s">
        <v>3</v>
      </c>
      <c r="D316" s="10">
        <v>8</v>
      </c>
      <c r="E316" s="11">
        <v>533.35312491000002</v>
      </c>
      <c r="F316" s="10">
        <v>694</v>
      </c>
      <c r="G316" s="11">
        <v>0.22587516179645933</v>
      </c>
      <c r="H316" s="12">
        <v>6.2300000000000001E-2</v>
      </c>
      <c r="I316" s="10">
        <v>0</v>
      </c>
      <c r="J316" s="13">
        <v>0</v>
      </c>
      <c r="K316" s="14">
        <v>2004</v>
      </c>
      <c r="L316" s="14">
        <v>2241</v>
      </c>
      <c r="M316" s="14">
        <v>489</v>
      </c>
      <c r="N316" s="15">
        <v>72.566999999999993</v>
      </c>
      <c r="O316" s="11">
        <f t="shared" si="4"/>
        <v>27.615858448054905</v>
      </c>
      <c r="P316" s="10">
        <v>68</v>
      </c>
      <c r="Q316" s="16">
        <v>14765</v>
      </c>
      <c r="R316" s="11">
        <v>2684813.7600000007</v>
      </c>
      <c r="S316" s="17">
        <v>69.93464052287581</v>
      </c>
      <c r="T316" s="10">
        <v>1</v>
      </c>
      <c r="U316" s="12">
        <v>0.5109632079371641</v>
      </c>
      <c r="V316" s="14">
        <v>150</v>
      </c>
      <c r="W316" s="11">
        <v>2805.6481999999983</v>
      </c>
      <c r="X316" s="18">
        <v>319</v>
      </c>
    </row>
    <row r="317" spans="1:24" ht="15" customHeight="1" x14ac:dyDescent="0.3">
      <c r="A317" s="9">
        <v>99020</v>
      </c>
      <c r="B317" s="9" t="s">
        <v>319</v>
      </c>
      <c r="C317" s="10" t="s">
        <v>30</v>
      </c>
      <c r="D317" s="10">
        <v>4</v>
      </c>
      <c r="E317" s="11">
        <v>34.887778068999999</v>
      </c>
      <c r="F317" s="10">
        <v>607</v>
      </c>
      <c r="G317" s="11">
        <v>0.73259083996885788</v>
      </c>
      <c r="H317" s="12">
        <v>0</v>
      </c>
      <c r="I317" s="10">
        <v>0</v>
      </c>
      <c r="J317" s="13">
        <v>0</v>
      </c>
      <c r="K317" s="14">
        <v>10052</v>
      </c>
      <c r="L317" s="25">
        <v>9960</v>
      </c>
      <c r="M317" s="14">
        <v>1714</v>
      </c>
      <c r="N317" s="15">
        <v>27.302299999999999</v>
      </c>
      <c r="O317" s="11">
        <f t="shared" si="4"/>
        <v>368.17410987352713</v>
      </c>
      <c r="P317" s="10">
        <v>3</v>
      </c>
      <c r="Q317" s="16">
        <v>13041</v>
      </c>
      <c r="R317" s="11">
        <v>8261537.3500000034</v>
      </c>
      <c r="S317" s="17">
        <v>68.692377613296969</v>
      </c>
      <c r="T317" s="10">
        <v>0</v>
      </c>
      <c r="U317" s="12">
        <v>0.14975824175824176</v>
      </c>
      <c r="V317" s="14">
        <v>778</v>
      </c>
      <c r="W317" s="11">
        <v>1311.3698000000002</v>
      </c>
      <c r="X317" s="18">
        <v>219</v>
      </c>
    </row>
    <row r="318" spans="1:24" ht="15" customHeight="1" x14ac:dyDescent="0.3">
      <c r="A318" s="9">
        <v>35042</v>
      </c>
      <c r="B318" s="9" t="s">
        <v>320</v>
      </c>
      <c r="C318" s="10" t="s">
        <v>7</v>
      </c>
      <c r="D318" s="10">
        <v>0</v>
      </c>
      <c r="E318" s="11">
        <v>6.3255800700000009</v>
      </c>
      <c r="F318" s="10">
        <v>683</v>
      </c>
      <c r="G318" s="11">
        <v>0.49469989045177193</v>
      </c>
      <c r="H318" s="12">
        <v>0</v>
      </c>
      <c r="I318" s="10">
        <v>0</v>
      </c>
      <c r="J318" s="13">
        <v>0</v>
      </c>
      <c r="K318" s="14">
        <v>1786</v>
      </c>
      <c r="L318" s="14">
        <v>1956</v>
      </c>
      <c r="M318" s="14">
        <v>461</v>
      </c>
      <c r="N318" s="15">
        <v>53.373600000000003</v>
      </c>
      <c r="O318" s="11">
        <f t="shared" si="4"/>
        <v>33.462236011811079</v>
      </c>
      <c r="P318" s="10">
        <v>15</v>
      </c>
      <c r="Q318" s="16">
        <v>15326</v>
      </c>
      <c r="R318" s="11">
        <v>2562935.4</v>
      </c>
      <c r="S318" s="17">
        <v>68.175675675675677</v>
      </c>
      <c r="T318" s="10">
        <v>1</v>
      </c>
      <c r="U318" s="12">
        <v>0.60181000562113551</v>
      </c>
      <c r="V318" s="14">
        <v>129</v>
      </c>
      <c r="W318" s="11">
        <v>2019.9524999999996</v>
      </c>
      <c r="X318" s="18">
        <v>97</v>
      </c>
    </row>
    <row r="319" spans="1:24" ht="15" customHeight="1" x14ac:dyDescent="0.3">
      <c r="A319" s="9">
        <v>35043</v>
      </c>
      <c r="B319" s="9" t="s">
        <v>321</v>
      </c>
      <c r="C319" s="10" t="s">
        <v>7</v>
      </c>
      <c r="D319" s="10">
        <v>1</v>
      </c>
      <c r="E319" s="11">
        <v>15.54998786</v>
      </c>
      <c r="F319" s="10">
        <v>626</v>
      </c>
      <c r="G319" s="11">
        <v>0.66971202104402494</v>
      </c>
      <c r="H319" s="12">
        <v>0</v>
      </c>
      <c r="I319" s="10">
        <v>0</v>
      </c>
      <c r="J319" s="13">
        <v>0</v>
      </c>
      <c r="K319" s="14">
        <v>4334</v>
      </c>
      <c r="L319" s="14">
        <v>4214</v>
      </c>
      <c r="M319" s="14">
        <v>778</v>
      </c>
      <c r="N319" s="15">
        <v>37.818300000000001</v>
      </c>
      <c r="O319" s="11">
        <f t="shared" si="4"/>
        <v>114.60060341157588</v>
      </c>
      <c r="P319" s="10">
        <v>10</v>
      </c>
      <c r="Q319" s="16">
        <v>17456</v>
      </c>
      <c r="R319" s="11">
        <v>4735192.62</v>
      </c>
      <c r="S319" s="17">
        <v>72.583941605839414</v>
      </c>
      <c r="T319" s="10">
        <v>1</v>
      </c>
      <c r="U319" s="12">
        <v>0.37361448968799577</v>
      </c>
      <c r="V319" s="14">
        <v>339</v>
      </c>
      <c r="W319" s="11">
        <v>1976.4935999999991</v>
      </c>
      <c r="X319" s="18">
        <v>99</v>
      </c>
    </row>
    <row r="320" spans="1:24" ht="15" customHeight="1" x14ac:dyDescent="0.3">
      <c r="A320" s="9">
        <v>35044</v>
      </c>
      <c r="B320" s="26" t="s">
        <v>322</v>
      </c>
      <c r="C320" s="10" t="s">
        <v>7</v>
      </c>
      <c r="D320" s="10">
        <v>5</v>
      </c>
      <c r="E320" s="11">
        <v>32.115588341999995</v>
      </c>
      <c r="F320" s="10">
        <v>697</v>
      </c>
      <c r="G320" s="11">
        <v>0.65779948626988349</v>
      </c>
      <c r="H320" s="12">
        <v>0</v>
      </c>
      <c r="I320" s="10">
        <v>0</v>
      </c>
      <c r="J320" s="13">
        <v>0</v>
      </c>
      <c r="K320" s="14">
        <v>3393</v>
      </c>
      <c r="L320" s="19">
        <v>3377</v>
      </c>
      <c r="M320" s="14">
        <v>567</v>
      </c>
      <c r="N320" s="15">
        <v>44.971899999999998</v>
      </c>
      <c r="O320" s="11">
        <f t="shared" si="4"/>
        <v>75.44711253026891</v>
      </c>
      <c r="P320" s="10">
        <v>36</v>
      </c>
      <c r="Q320" s="16">
        <v>16441</v>
      </c>
      <c r="R320" s="11">
        <v>3580512.8299999987</v>
      </c>
      <c r="S320" s="17">
        <v>70.753323485967499</v>
      </c>
      <c r="T320" s="10">
        <v>1</v>
      </c>
      <c r="U320" s="12">
        <v>0.42727373804758734</v>
      </c>
      <c r="V320" s="14">
        <v>270</v>
      </c>
      <c r="W320" s="11">
        <v>2666.9911000000002</v>
      </c>
      <c r="X320" s="18">
        <v>100</v>
      </c>
    </row>
    <row r="321" spans="1:24" ht="15" customHeight="1" x14ac:dyDescent="0.3">
      <c r="A321" s="9">
        <v>38022</v>
      </c>
      <c r="B321" s="9" t="s">
        <v>323</v>
      </c>
      <c r="C321" s="10" t="s">
        <v>17</v>
      </c>
      <c r="D321" s="10">
        <v>3</v>
      </c>
      <c r="E321" s="11">
        <v>28.351617722999997</v>
      </c>
      <c r="F321" s="10">
        <v>663</v>
      </c>
      <c r="G321" s="11">
        <v>0.82639108082801416</v>
      </c>
      <c r="H321" s="12">
        <v>0</v>
      </c>
      <c r="I321" s="10">
        <v>0</v>
      </c>
      <c r="J321" s="13">
        <v>0</v>
      </c>
      <c r="K321" s="14">
        <v>7600</v>
      </c>
      <c r="L321" s="14">
        <v>7431</v>
      </c>
      <c r="M321" s="14">
        <v>1473</v>
      </c>
      <c r="N321" s="15">
        <v>42.018799999999999</v>
      </c>
      <c r="O321" s="11">
        <f t="shared" si="4"/>
        <v>180.87141945986082</v>
      </c>
      <c r="P321" s="10">
        <v>2</v>
      </c>
      <c r="Q321" s="16">
        <v>15802</v>
      </c>
      <c r="R321" s="11">
        <v>6812128.6300000008</v>
      </c>
      <c r="S321" s="17">
        <v>72.796302410036319</v>
      </c>
      <c r="T321" s="10">
        <v>0</v>
      </c>
      <c r="U321" s="12">
        <v>1.8624464540694906E-2</v>
      </c>
      <c r="V321" s="14">
        <v>462</v>
      </c>
      <c r="W321" s="11">
        <v>3713.7463999999977</v>
      </c>
      <c r="X321" s="18">
        <v>177</v>
      </c>
    </row>
    <row r="322" spans="1:24" ht="15" customHeight="1" x14ac:dyDescent="0.3">
      <c r="A322" s="9">
        <v>36046</v>
      </c>
      <c r="B322" s="9" t="s">
        <v>324</v>
      </c>
      <c r="C322" s="10" t="s">
        <v>27</v>
      </c>
      <c r="D322" s="10">
        <v>5</v>
      </c>
      <c r="E322" s="11">
        <v>70.486205302000002</v>
      </c>
      <c r="F322" s="10">
        <v>652</v>
      </c>
      <c r="G322" s="11">
        <v>0.84705394770454789</v>
      </c>
      <c r="H322" s="12">
        <v>0</v>
      </c>
      <c r="I322" s="10">
        <v>0</v>
      </c>
      <c r="J322" s="13">
        <v>0</v>
      </c>
      <c r="K322" s="14">
        <v>25814</v>
      </c>
      <c r="L322" s="14">
        <v>24344</v>
      </c>
      <c r="M322" s="14">
        <v>4318</v>
      </c>
      <c r="N322" s="15">
        <v>22.861599999999999</v>
      </c>
      <c r="O322" s="11">
        <f t="shared" ref="O322:O385" si="5">K322/N322</f>
        <v>1129.1423172481366</v>
      </c>
      <c r="P322" s="10">
        <v>5</v>
      </c>
      <c r="Q322" s="16">
        <v>16546</v>
      </c>
      <c r="R322" s="11">
        <v>20943524.639999997</v>
      </c>
      <c r="S322" s="17">
        <v>72.854572039140706</v>
      </c>
      <c r="T322" s="10">
        <v>0</v>
      </c>
      <c r="U322" s="12">
        <v>5.8884514435695541E-2</v>
      </c>
      <c r="V322" s="14">
        <v>2268</v>
      </c>
      <c r="W322" s="11">
        <v>1174.9043000000011</v>
      </c>
      <c r="X322" s="18">
        <v>270</v>
      </c>
    </row>
    <row r="323" spans="1:24" ht="15" customHeight="1" x14ac:dyDescent="0.3">
      <c r="A323" s="9">
        <v>33045</v>
      </c>
      <c r="B323" s="9" t="s">
        <v>325</v>
      </c>
      <c r="C323" s="10" t="s">
        <v>3</v>
      </c>
      <c r="D323" s="10">
        <v>6</v>
      </c>
      <c r="E323" s="11">
        <v>11.980109076</v>
      </c>
      <c r="F323" s="10">
        <v>638</v>
      </c>
      <c r="G323" s="11">
        <v>0.72687062843283246</v>
      </c>
      <c r="H323" s="12">
        <v>0</v>
      </c>
      <c r="I323" s="10">
        <v>0</v>
      </c>
      <c r="J323" s="13">
        <v>0</v>
      </c>
      <c r="K323" s="14">
        <v>4200</v>
      </c>
      <c r="L323" s="14">
        <v>4268</v>
      </c>
      <c r="M323" s="14">
        <v>729</v>
      </c>
      <c r="N323" s="15">
        <v>42.037300000000002</v>
      </c>
      <c r="O323" s="11">
        <f t="shared" si="5"/>
        <v>99.911269277522578</v>
      </c>
      <c r="P323" s="10">
        <v>4</v>
      </c>
      <c r="Q323" s="16">
        <v>16760</v>
      </c>
      <c r="R323" s="11">
        <v>3157183.15</v>
      </c>
      <c r="S323" s="17">
        <v>70.361222599567768</v>
      </c>
      <c r="T323" s="10">
        <v>1</v>
      </c>
      <c r="U323" s="12">
        <v>0.24045908658420553</v>
      </c>
      <c r="V323" s="14">
        <v>291</v>
      </c>
      <c r="W323" s="11">
        <v>2816.1825000000008</v>
      </c>
      <c r="X323" s="18">
        <v>127</v>
      </c>
    </row>
    <row r="324" spans="1:24" ht="15" customHeight="1" x14ac:dyDescent="0.3">
      <c r="A324" s="9">
        <v>35045</v>
      </c>
      <c r="B324" s="9" t="s">
        <v>326</v>
      </c>
      <c r="C324" s="10" t="s">
        <v>7</v>
      </c>
      <c r="D324" s="10">
        <v>3</v>
      </c>
      <c r="E324" s="11">
        <v>-60.801087475000003</v>
      </c>
      <c r="F324" s="10">
        <v>672</v>
      </c>
      <c r="G324" s="11">
        <v>0.46953313574480243</v>
      </c>
      <c r="H324" s="12">
        <v>0.2039</v>
      </c>
      <c r="I324" s="10">
        <v>0</v>
      </c>
      <c r="J324" s="13">
        <v>0</v>
      </c>
      <c r="K324" s="14">
        <v>3493</v>
      </c>
      <c r="L324" s="14">
        <v>3900</v>
      </c>
      <c r="M324" s="14">
        <v>880</v>
      </c>
      <c r="N324" s="15">
        <v>168.0812</v>
      </c>
      <c r="O324" s="11">
        <f t="shared" si="5"/>
        <v>20.781622215928969</v>
      </c>
      <c r="P324" s="10">
        <v>52</v>
      </c>
      <c r="Q324" s="16">
        <v>14411</v>
      </c>
      <c r="R324" s="11">
        <v>5187660.7799999984</v>
      </c>
      <c r="S324" s="17">
        <v>70.90844821491693</v>
      </c>
      <c r="T324" s="10">
        <v>1</v>
      </c>
      <c r="U324" s="12">
        <v>0.65359947643979066</v>
      </c>
      <c r="V324" s="14">
        <v>279</v>
      </c>
      <c r="W324" s="11">
        <v>3632.3733999999995</v>
      </c>
      <c r="X324" s="18">
        <v>144</v>
      </c>
    </row>
    <row r="325" spans="1:24" ht="15" customHeight="1" x14ac:dyDescent="0.3">
      <c r="A325" s="9">
        <v>33046</v>
      </c>
      <c r="B325" s="9" t="s">
        <v>327</v>
      </c>
      <c r="C325" s="10" t="s">
        <v>3</v>
      </c>
      <c r="D325" s="10">
        <v>1</v>
      </c>
      <c r="E325" s="11">
        <v>25.505354109999999</v>
      </c>
      <c r="F325" s="10">
        <v>669</v>
      </c>
      <c r="G325" s="11">
        <v>0.64541748073111083</v>
      </c>
      <c r="H325" s="12">
        <v>0</v>
      </c>
      <c r="I325" s="10">
        <v>1</v>
      </c>
      <c r="J325" s="13">
        <v>0</v>
      </c>
      <c r="K325" s="14">
        <v>1669</v>
      </c>
      <c r="L325" s="14">
        <v>1936</v>
      </c>
      <c r="M325" s="14">
        <v>347</v>
      </c>
      <c r="N325" s="15">
        <v>36.566899999999997</v>
      </c>
      <c r="O325" s="11">
        <f t="shared" si="5"/>
        <v>45.642370559166899</v>
      </c>
      <c r="P325" s="10">
        <v>97</v>
      </c>
      <c r="Q325" s="16">
        <v>15790</v>
      </c>
      <c r="R325" s="11">
        <v>1764282.8999999997</v>
      </c>
      <c r="S325" s="17">
        <v>74.161585365853654</v>
      </c>
      <c r="T325" s="10">
        <v>1</v>
      </c>
      <c r="U325" s="12">
        <v>6.6499863275909218E-2</v>
      </c>
      <c r="V325" s="14">
        <v>138</v>
      </c>
      <c r="W325" s="11">
        <v>2876.1255000000001</v>
      </c>
      <c r="X325" s="18">
        <v>99</v>
      </c>
    </row>
    <row r="326" spans="1:24" ht="15" customHeight="1" x14ac:dyDescent="0.3">
      <c r="A326" s="9">
        <v>38023</v>
      </c>
      <c r="B326" s="9" t="s">
        <v>328</v>
      </c>
      <c r="C326" s="10" t="s">
        <v>17</v>
      </c>
      <c r="D326" s="10">
        <v>1</v>
      </c>
      <c r="E326" s="11">
        <v>18.150472938</v>
      </c>
      <c r="F326" s="10">
        <v>646</v>
      </c>
      <c r="G326" s="11">
        <v>0.79642605975025615</v>
      </c>
      <c r="H326" s="12">
        <v>0</v>
      </c>
      <c r="I326" s="10">
        <v>1</v>
      </c>
      <c r="J326" s="13">
        <v>0</v>
      </c>
      <c r="K326" s="14">
        <v>3559</v>
      </c>
      <c r="L326" s="14">
        <v>3847</v>
      </c>
      <c r="M326" s="14">
        <v>862</v>
      </c>
      <c r="N326" s="15">
        <v>40.327399999999997</v>
      </c>
      <c r="O326" s="11">
        <f t="shared" si="5"/>
        <v>88.252652043027823</v>
      </c>
      <c r="P326" s="10">
        <v>31</v>
      </c>
      <c r="Q326" s="16">
        <v>15275</v>
      </c>
      <c r="R326" s="11">
        <v>2656107.4899999998</v>
      </c>
      <c r="S326" s="17">
        <v>73.785425101214571</v>
      </c>
      <c r="T326" s="10">
        <v>1</v>
      </c>
      <c r="U326" s="12">
        <v>7.5477312174559883E-3</v>
      </c>
      <c r="V326" s="14">
        <v>249</v>
      </c>
      <c r="W326" s="11">
        <v>3603.4458000000018</v>
      </c>
      <c r="X326" s="18">
        <v>214</v>
      </c>
    </row>
    <row r="327" spans="1:24" ht="15" customHeight="1" x14ac:dyDescent="0.3">
      <c r="A327" s="9">
        <v>33047</v>
      </c>
      <c r="B327" s="9" t="s">
        <v>329</v>
      </c>
      <c r="C327" s="10" t="s">
        <v>3</v>
      </c>
      <c r="D327" s="10">
        <v>0</v>
      </c>
      <c r="E327" s="11">
        <v>-12.246509204000001</v>
      </c>
      <c r="F327" s="10">
        <v>692</v>
      </c>
      <c r="G327" s="11">
        <v>0.312255859375</v>
      </c>
      <c r="H327" s="12">
        <v>0</v>
      </c>
      <c r="I327" s="10">
        <v>0</v>
      </c>
      <c r="J327" s="13">
        <v>0</v>
      </c>
      <c r="K327" s="14">
        <v>71</v>
      </c>
      <c r="L327" s="25">
        <v>92</v>
      </c>
      <c r="M327" s="14">
        <v>33</v>
      </c>
      <c r="N327" s="15">
        <v>24.127099999999999</v>
      </c>
      <c r="O327" s="11">
        <f t="shared" si="5"/>
        <v>2.942749024955341</v>
      </c>
      <c r="P327" s="10">
        <v>100</v>
      </c>
      <c r="Q327" s="16">
        <v>12776</v>
      </c>
      <c r="R327" s="11">
        <v>341015.8600000001</v>
      </c>
      <c r="S327" s="17">
        <v>64.615384615384613</v>
      </c>
      <c r="T327" s="10">
        <v>1</v>
      </c>
      <c r="U327" s="12">
        <v>0.89195192706174908</v>
      </c>
      <c r="V327" s="14">
        <v>7</v>
      </c>
      <c r="W327" s="11">
        <v>207.09439999999995</v>
      </c>
      <c r="X327" s="18">
        <v>2</v>
      </c>
    </row>
    <row r="328" spans="1:24" ht="15" customHeight="1" x14ac:dyDescent="0.3">
      <c r="A328" s="9">
        <v>33048</v>
      </c>
      <c r="B328" s="9" t="s">
        <v>330</v>
      </c>
      <c r="C328" s="10" t="s">
        <v>3</v>
      </c>
      <c r="D328" s="10">
        <v>9</v>
      </c>
      <c r="E328" s="11">
        <v>7.0615322880000004</v>
      </c>
      <c r="F328" s="10">
        <v>655</v>
      </c>
      <c r="G328" s="11">
        <v>0.7328331560175394</v>
      </c>
      <c r="H328" s="12">
        <v>0</v>
      </c>
      <c r="I328" s="10">
        <v>0</v>
      </c>
      <c r="J328" s="13">
        <v>0</v>
      </c>
      <c r="K328" s="14">
        <v>2436</v>
      </c>
      <c r="L328" s="14">
        <v>2635</v>
      </c>
      <c r="M328" s="14">
        <v>537</v>
      </c>
      <c r="N328" s="15">
        <v>32.776600000000002</v>
      </c>
      <c r="O328" s="11">
        <f t="shared" si="5"/>
        <v>74.321314596388888</v>
      </c>
      <c r="P328" s="10">
        <v>89</v>
      </c>
      <c r="Q328" s="16">
        <v>14427</v>
      </c>
      <c r="R328" s="11">
        <v>2151938.1500000008</v>
      </c>
      <c r="S328" s="17">
        <v>65.56974459724951</v>
      </c>
      <c r="T328" s="10">
        <v>1</v>
      </c>
      <c r="U328" s="12">
        <v>2.9215985356924955E-2</v>
      </c>
      <c r="V328" s="14">
        <v>111</v>
      </c>
      <c r="W328" s="11">
        <v>2761.9465999999993</v>
      </c>
      <c r="X328" s="18">
        <v>307</v>
      </c>
    </row>
    <row r="329" spans="1:24" ht="15" customHeight="1" x14ac:dyDescent="0.3">
      <c r="A329" s="9">
        <v>36047</v>
      </c>
      <c r="B329" s="9" t="s">
        <v>331</v>
      </c>
      <c r="C329" s="10" t="s">
        <v>27</v>
      </c>
      <c r="D329" s="10">
        <v>5</v>
      </c>
      <c r="E329" s="11">
        <v>11.970052549999998</v>
      </c>
      <c r="F329" s="10">
        <v>692</v>
      </c>
      <c r="G329" s="11">
        <v>0.60922500884050812</v>
      </c>
      <c r="H329" s="12">
        <v>3.2300000000000002E-2</v>
      </c>
      <c r="I329" s="10">
        <v>0</v>
      </c>
      <c r="J329" s="13">
        <v>0</v>
      </c>
      <c r="K329" s="14">
        <v>4628</v>
      </c>
      <c r="L329" s="14">
        <v>4883</v>
      </c>
      <c r="M329" s="14">
        <v>961</v>
      </c>
      <c r="N329" s="15">
        <v>69.365700000000004</v>
      </c>
      <c r="O329" s="11">
        <f t="shared" si="5"/>
        <v>66.718853842749368</v>
      </c>
      <c r="P329" s="10">
        <v>41</v>
      </c>
      <c r="Q329" s="16">
        <v>14732</v>
      </c>
      <c r="R329" s="11">
        <v>4996951.6700000009</v>
      </c>
      <c r="S329" s="17">
        <v>69.783549783549788</v>
      </c>
      <c r="T329" s="10">
        <v>1</v>
      </c>
      <c r="U329" s="12">
        <v>0.4172062851376675</v>
      </c>
      <c r="V329" s="14">
        <v>445</v>
      </c>
      <c r="W329" s="11">
        <v>3897.387999999999</v>
      </c>
      <c r="X329" s="18">
        <v>255</v>
      </c>
    </row>
    <row r="330" spans="1:24" ht="15" customHeight="1" x14ac:dyDescent="0.3">
      <c r="A330" s="9">
        <v>37060</v>
      </c>
      <c r="B330" s="27" t="s">
        <v>332</v>
      </c>
      <c r="C330" s="10" t="s">
        <v>13</v>
      </c>
      <c r="D330" s="10">
        <v>3</v>
      </c>
      <c r="E330" s="11">
        <v>159.88972783399998</v>
      </c>
      <c r="F330" s="10">
        <v>642</v>
      </c>
      <c r="G330" s="11">
        <v>0.72902926443401472</v>
      </c>
      <c r="H330" s="12">
        <v>0</v>
      </c>
      <c r="I330" s="10">
        <v>0</v>
      </c>
      <c r="J330" s="10">
        <v>2</v>
      </c>
      <c r="K330" s="14">
        <v>19207</v>
      </c>
      <c r="L330" s="14">
        <v>18193</v>
      </c>
      <c r="M330" s="14">
        <v>3650</v>
      </c>
      <c r="N330" s="15">
        <v>37.747700000000002</v>
      </c>
      <c r="O330" s="11">
        <f t="shared" si="5"/>
        <v>508.82570328788239</v>
      </c>
      <c r="P330" s="10">
        <v>0</v>
      </c>
      <c r="Q330" s="16">
        <v>20270</v>
      </c>
      <c r="R330" s="11">
        <v>18701882.329999998</v>
      </c>
      <c r="S330" s="17">
        <v>77.145127118644069</v>
      </c>
      <c r="T330" s="10">
        <v>0</v>
      </c>
      <c r="U330" s="12">
        <v>0.16014304635761589</v>
      </c>
      <c r="V330" s="14">
        <v>1893</v>
      </c>
      <c r="W330" s="11">
        <v>1969.5879000000004</v>
      </c>
      <c r="X330" s="18">
        <v>150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3C87C-720E-415A-BF05-4C149AE46AD4}">
  <dimension ref="A1:B25"/>
  <sheetViews>
    <sheetView workbookViewId="0">
      <selection activeCell="A29" sqref="A29"/>
    </sheetView>
  </sheetViews>
  <sheetFormatPr defaultRowHeight="14.4" x14ac:dyDescent="0.3"/>
  <cols>
    <col min="1" max="1" width="22.33203125" style="2" bestFit="1" customWidth="1"/>
    <col min="2" max="2" width="42.77734375" style="2" bestFit="1" customWidth="1"/>
    <col min="3" max="16384" width="8.88671875" style="2"/>
  </cols>
  <sheetData>
    <row r="1" spans="1:2" x14ac:dyDescent="0.3">
      <c r="A1" s="5" t="s">
        <v>354</v>
      </c>
      <c r="B1" s="5" t="s">
        <v>355</v>
      </c>
    </row>
    <row r="2" spans="1:2" x14ac:dyDescent="0.3">
      <c r="A2" s="1" t="s">
        <v>353</v>
      </c>
      <c r="B2" s="2" t="s">
        <v>356</v>
      </c>
    </row>
    <row r="3" spans="1:2" x14ac:dyDescent="0.3">
      <c r="A3" s="1" t="s">
        <v>0</v>
      </c>
      <c r="B3" s="2" t="s">
        <v>357</v>
      </c>
    </row>
    <row r="4" spans="1:2" x14ac:dyDescent="0.3">
      <c r="A4" s="1" t="s">
        <v>1</v>
      </c>
      <c r="B4" s="2" t="s">
        <v>358</v>
      </c>
    </row>
    <row r="5" spans="1:2" x14ac:dyDescent="0.3">
      <c r="A5" s="1" t="s">
        <v>333</v>
      </c>
      <c r="B5" s="2" t="s">
        <v>359</v>
      </c>
    </row>
    <row r="6" spans="1:2" x14ac:dyDescent="0.3">
      <c r="A6" s="1" t="s">
        <v>334</v>
      </c>
      <c r="B6" s="2" t="s">
        <v>360</v>
      </c>
    </row>
    <row r="7" spans="1:2" x14ac:dyDescent="0.3">
      <c r="A7" s="1" t="s">
        <v>335</v>
      </c>
      <c r="B7" s="2" t="s">
        <v>361</v>
      </c>
    </row>
    <row r="8" spans="1:2" x14ac:dyDescent="0.3">
      <c r="A8" s="1" t="s">
        <v>336</v>
      </c>
      <c r="B8" s="2" t="s">
        <v>362</v>
      </c>
    </row>
    <row r="9" spans="1:2" x14ac:dyDescent="0.3">
      <c r="A9" s="1" t="s">
        <v>337</v>
      </c>
      <c r="B9" s="2" t="s">
        <v>363</v>
      </c>
    </row>
    <row r="10" spans="1:2" x14ac:dyDescent="0.3">
      <c r="A10" s="1" t="s">
        <v>338</v>
      </c>
      <c r="B10" s="2" t="s">
        <v>364</v>
      </c>
    </row>
    <row r="11" spans="1:2" x14ac:dyDescent="0.3">
      <c r="A11" s="1" t="s">
        <v>339</v>
      </c>
      <c r="B11" s="2" t="s">
        <v>365</v>
      </c>
    </row>
    <row r="12" spans="1:2" x14ac:dyDescent="0.3">
      <c r="A12" s="1" t="s">
        <v>341</v>
      </c>
      <c r="B12" s="2" t="s">
        <v>366</v>
      </c>
    </row>
    <row r="13" spans="1:2" x14ac:dyDescent="0.3">
      <c r="A13" s="1" t="s">
        <v>340</v>
      </c>
      <c r="B13" s="2" t="s">
        <v>367</v>
      </c>
    </row>
    <row r="14" spans="1:2" x14ac:dyDescent="0.3">
      <c r="A14" s="1" t="s">
        <v>342</v>
      </c>
      <c r="B14" s="2" t="s">
        <v>368</v>
      </c>
    </row>
    <row r="15" spans="1:2" x14ac:dyDescent="0.3">
      <c r="A15" s="1" t="s">
        <v>369</v>
      </c>
      <c r="B15" s="2" t="s">
        <v>370</v>
      </c>
    </row>
    <row r="16" spans="1:2" x14ac:dyDescent="0.3">
      <c r="A16" s="1" t="s">
        <v>343</v>
      </c>
      <c r="B16" s="2" t="s">
        <v>371</v>
      </c>
    </row>
    <row r="17" spans="1:2" x14ac:dyDescent="0.3">
      <c r="A17" s="1" t="s">
        <v>344</v>
      </c>
      <c r="B17" s="2" t="s">
        <v>372</v>
      </c>
    </row>
    <row r="18" spans="1:2" x14ac:dyDescent="0.3">
      <c r="A18" s="1" t="s">
        <v>345</v>
      </c>
      <c r="B18" s="2" t="s">
        <v>373</v>
      </c>
    </row>
    <row r="19" spans="1:2" x14ac:dyDescent="0.3">
      <c r="A19" s="33" t="s">
        <v>346</v>
      </c>
      <c r="B19" s="2" t="s">
        <v>374</v>
      </c>
    </row>
    <row r="20" spans="1:2" x14ac:dyDescent="0.3">
      <c r="A20" s="1" t="s">
        <v>347</v>
      </c>
      <c r="B20" s="2" t="s">
        <v>375</v>
      </c>
    </row>
    <row r="21" spans="1:2" x14ac:dyDescent="0.3">
      <c r="A21" s="1" t="s">
        <v>348</v>
      </c>
      <c r="B21" s="2" t="s">
        <v>376</v>
      </c>
    </row>
    <row r="22" spans="1:2" x14ac:dyDescent="0.3">
      <c r="A22" s="1" t="s">
        <v>349</v>
      </c>
      <c r="B22" s="2" t="s">
        <v>377</v>
      </c>
    </row>
    <row r="23" spans="1:2" x14ac:dyDescent="0.3">
      <c r="A23" s="4" t="s">
        <v>350</v>
      </c>
      <c r="B23" s="2" t="s">
        <v>378</v>
      </c>
    </row>
    <row r="24" spans="1:2" x14ac:dyDescent="0.3">
      <c r="A24" s="3" t="s">
        <v>351</v>
      </c>
      <c r="B24" s="2" t="s">
        <v>379</v>
      </c>
    </row>
    <row r="25" spans="1:2" x14ac:dyDescent="0.3">
      <c r="A25" s="1" t="s">
        <v>352</v>
      </c>
      <c r="B25" s="2" t="s">
        <v>380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</vt:lpstr>
      <vt:lpstr>descrizione variabili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STEFANO GHINOI</dc:creator>
  <cp:lastModifiedBy>STEFANO GHINOI</cp:lastModifiedBy>
  <dcterms:created xsi:type="dcterms:W3CDTF">2024-03-05T15:57:51Z</dcterms:created>
  <dcterms:modified xsi:type="dcterms:W3CDTF">2024-03-17T08:43:15Z</dcterms:modified>
</cp:coreProperties>
</file>